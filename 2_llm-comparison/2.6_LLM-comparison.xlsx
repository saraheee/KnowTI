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\Documents\Repos\KT-Study-Questionnaires\appendix\revision-material\"/>
    </mc:Choice>
  </mc:AlternateContent>
  <xr:revisionPtr revIDLastSave="0" documentId="13_ncr:1_{BBB7B88C-EC31-482E-8CEB-9D6310695C85}" xr6:coauthVersionLast="47" xr6:coauthVersionMax="47" xr10:uidLastSave="{00000000-0000-0000-0000-000000000000}"/>
  <bookViews>
    <workbookView xWindow="-1404" yWindow="-17388" windowWidth="41496" windowHeight="17496" xr2:uid="{E2AF9C5C-2729-477A-BEFE-1EB249DAAD47}"/>
  </bookViews>
  <sheets>
    <sheet name="LLM-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4" i="1" l="1"/>
  <c r="M14" i="1"/>
  <c r="N14" i="1"/>
  <c r="O14" i="1"/>
  <c r="P14" i="1"/>
  <c r="K4" i="1"/>
  <c r="L4" i="1"/>
  <c r="M4" i="1"/>
  <c r="N4" i="1"/>
  <c r="O4" i="1"/>
  <c r="P4" i="1"/>
  <c r="K5" i="1"/>
  <c r="L5" i="1"/>
  <c r="M5" i="1"/>
  <c r="N5" i="1"/>
  <c r="O5" i="1"/>
  <c r="P5" i="1"/>
  <c r="K6" i="1"/>
  <c r="L6" i="1"/>
  <c r="M6" i="1"/>
  <c r="N6" i="1"/>
  <c r="O6" i="1"/>
  <c r="P6" i="1"/>
  <c r="K7" i="1"/>
  <c r="L7" i="1"/>
  <c r="M7" i="1"/>
  <c r="N7" i="1"/>
  <c r="O7" i="1"/>
  <c r="P7" i="1"/>
  <c r="K8" i="1"/>
  <c r="L8" i="1"/>
  <c r="M8" i="1"/>
  <c r="N8" i="1"/>
  <c r="O8" i="1"/>
  <c r="P8" i="1"/>
  <c r="K9" i="1"/>
  <c r="L9" i="1"/>
  <c r="M9" i="1"/>
  <c r="N9" i="1"/>
  <c r="O9" i="1"/>
  <c r="P9" i="1"/>
  <c r="K10" i="1"/>
  <c r="L10" i="1"/>
  <c r="M10" i="1"/>
  <c r="N10" i="1"/>
  <c r="O10" i="1"/>
  <c r="P10" i="1"/>
  <c r="K11" i="1"/>
  <c r="L11" i="1"/>
  <c r="M11" i="1"/>
  <c r="N11" i="1"/>
  <c r="O11" i="1"/>
  <c r="P11" i="1"/>
  <c r="K12" i="1"/>
  <c r="L12" i="1"/>
  <c r="M12" i="1"/>
  <c r="N12" i="1"/>
  <c r="O12" i="1"/>
  <c r="P12" i="1"/>
  <c r="K13" i="1"/>
  <c r="L13" i="1"/>
  <c r="M13" i="1"/>
  <c r="N13" i="1"/>
  <c r="O13" i="1"/>
  <c r="P13" i="1"/>
  <c r="L3" i="1"/>
  <c r="M3" i="1"/>
  <c r="N3" i="1"/>
  <c r="O3" i="1"/>
  <c r="P3" i="1"/>
  <c r="K3" i="1"/>
  <c r="H29" i="1"/>
  <c r="G29" i="1"/>
  <c r="F29" i="1"/>
  <c r="E29" i="1"/>
  <c r="D29" i="1"/>
  <c r="C29" i="1"/>
  <c r="D14" i="1"/>
  <c r="L14" i="1" s="1"/>
  <c r="E14" i="1"/>
  <c r="F14" i="1"/>
  <c r="G14" i="1"/>
  <c r="H14" i="1"/>
  <c r="C14" i="1"/>
</calcChain>
</file>

<file path=xl/sharedStrings.xml><?xml version="1.0" encoding="utf-8"?>
<sst xmlns="http://schemas.openxmlformats.org/spreadsheetml/2006/main" count="84" uniqueCount="34">
  <si>
    <t>Criterion</t>
  </si>
  <si>
    <t>How assessed</t>
  </si>
  <si>
    <t>Content Validity</t>
  </si>
  <si>
    <t>Can the LLM modify the visuals (including color, size, labels, etc.) correctly when requested?</t>
  </si>
  <si>
    <t>Correct Execution</t>
  </si>
  <si>
    <t>Customization Ability</t>
  </si>
  <si>
    <t>Modularity of Information</t>
  </si>
  <si>
    <t>Content Summarization</t>
  </si>
  <si>
    <t>User Control</t>
  </si>
  <si>
    <t>Are the generated visuals relevant for the description provided?</t>
  </si>
  <si>
    <t>Content Relevance</t>
  </si>
  <si>
    <t>Are the generated visuals correct for the description provided?</t>
  </si>
  <si>
    <t>Content Clarity</t>
  </si>
  <si>
    <t>Are the generated visuals clear and easy to understand?</t>
  </si>
  <si>
    <t>Is user control integrated as specified (option to adapt pace and pause animations)?</t>
  </si>
  <si>
    <t>Perplexity</t>
  </si>
  <si>
    <t>ChatGPT GPT-5.5</t>
  </si>
  <si>
    <t>Claude Sonnet 4.6</t>
  </si>
  <si>
    <t>Gemini 3.5 Thinking-Mode</t>
  </si>
  <si>
    <t>Deepseek-V3 DeepThink-Mode</t>
  </si>
  <si>
    <t>Grok 4 Fast-Mode</t>
  </si>
  <si>
    <t>Is the hierarchical structure of topics and subtopic extracted by the LLM related to the input data?</t>
  </si>
  <si>
    <t>Visual Representation</t>
  </si>
  <si>
    <t>Animation</t>
  </si>
  <si>
    <t>Interactivity</t>
  </si>
  <si>
    <t>Do the interactive elements included in the visuals help to understand the content?</t>
  </si>
  <si>
    <t>Do the animated elements or animation included in the visuals help to understand the content?</t>
  </si>
  <si>
    <t>Is the visual presentation appropriate for the content shown (inappropriate layout, colors, size, positioning, overlaps, etc.)?</t>
  </si>
  <si>
    <t>Do the visuals summarize the input description well? Are they helpful for understanding the topic?</t>
  </si>
  <si>
    <t>Does the code execute correctly with no errors when running it for the first time (without the need to correct or execut it again)?</t>
  </si>
  <si>
    <t>Overall sum</t>
  </si>
  <si>
    <t>Average scores of both tables</t>
  </si>
  <si>
    <t>LLM comparison – when implementing the first idea proposed by the LLM</t>
  </si>
  <si>
    <t>LLM comparison – when implementing unified pre-specified ideas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</si>
</sst>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3" tint="9.9978637043366805E-2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/>
    <xf numFmtId="0" fontId="0" fillId="3" borderId="0" xfId="0" applyFont="1" applyFill="1"/>
    <xf numFmtId="0" fontId="0" fillId="0" borderId="0" xfId="0" applyFont="1"/>
    <xf numFmtId="0" fontId="0" fillId="0" borderId="2" xfId="0" applyFont="1" applyBorder="1"/>
    <xf numFmtId="0" fontId="1" fillId="4" borderId="0" xfId="0" applyFont="1" applyFill="1"/>
    <xf numFmtId="0" fontId="4" fillId="4" borderId="0" xfId="0" applyFont="1" applyFill="1" applyAlignment="1">
      <alignment vertical="center" wrapText="1"/>
    </xf>
    <xf numFmtId="0" fontId="1" fillId="2" borderId="2" xfId="0" applyFont="1" applyFill="1" applyBorder="1"/>
  </cellXfs>
  <cellStyles count="1">
    <cellStyle name="Standard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1841C6-6BB8-41D5-83C5-AE969798DC18}" name="Tabelle1" displayName="Tabelle1" ref="A2:H14" totalsRowShown="0">
  <autoFilter ref="A2:H14" xr:uid="{EA1841C6-6BB8-41D5-83C5-AE969798DC18}"/>
  <tableColumns count="8">
    <tableColumn id="1" xr3:uid="{E317138A-FEC1-4019-B1D0-B9A8ECFC5281}" name="Criterion" dataDxfId="7"/>
    <tableColumn id="2" xr3:uid="{B06F42A3-8CD8-4207-8394-C9CC975EC61E}" name="How assessed" dataDxfId="4"/>
    <tableColumn id="3" xr3:uid="{9F1EEC08-72EE-4B9D-A52E-FDB1D549ACFB}" name="ChatGPT GPT-5.5"/>
    <tableColumn id="4" xr3:uid="{7F6A9CD7-01CE-4D9B-848E-B1BC9D17D8CB}" name="Claude Sonnet 4.6"/>
    <tableColumn id="5" xr3:uid="{96B7EA97-9309-4989-9BA0-42D2556B94C5}" name="Deepseek-V3 DeepThink-Mode"/>
    <tableColumn id="6" xr3:uid="{B6D9E797-FC0F-491E-B532-40ECA2C3F110}" name="Grok 4 Fast-Mode"/>
    <tableColumn id="7" xr3:uid="{FEFFBE8B-E3EB-4794-B201-D58B00F4A2D8}" name="Gemini 3.5 Thinking-Mode"/>
    <tableColumn id="8" xr3:uid="{A2703738-2006-4A89-9613-CFEDC2133CFE}" name="Perplexity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7D7671-9EA9-4A7E-9AA9-E28EFA8D8EFC}" name="Tabelle14" displayName="Tabelle14" ref="A17:H29" totalsRowShown="0">
  <autoFilter ref="A17:H29" xr:uid="{7D7D7671-9EA9-4A7E-9AA9-E28EFA8D8EFC}"/>
  <tableColumns count="8">
    <tableColumn id="1" xr3:uid="{53458A6E-CE28-4497-9E2F-4AD8FA88EA50}" name="Criterion" dataDxfId="6"/>
    <tableColumn id="2" xr3:uid="{6C1F8823-36ED-4782-A80B-3A03BDD93E1B}" name="How assessed" dataDxfId="5"/>
    <tableColumn id="3" xr3:uid="{61A2793A-C9B5-4A27-BC53-EBCCF5620951}" name="ChatGPT GPT-5.5"/>
    <tableColumn id="4" xr3:uid="{E8682A4A-0965-444C-B50A-CD7F0621D203}" name="Claude Sonnet 4.6"/>
    <tableColumn id="5" xr3:uid="{3B65A13F-E83E-4735-9DA0-E1D2760883A5}" name="Deepseek-V3 DeepThink-Mode"/>
    <tableColumn id="6" xr3:uid="{C46AD8E9-CCD6-49F5-8618-FA779B35EDA0}" name="Grok 4 Fast-Mode"/>
    <tableColumn id="7" xr3:uid="{27DCAB3F-0FC2-456D-A473-EBEBFA80A4F5}" name="Gemini 3.5 Thinking-Mode"/>
    <tableColumn id="8" xr3:uid="{28074EA5-715B-4836-9DC1-06060D699954}" name="Perplexity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0BD6E3-384F-4B76-84FA-51FF1729A8B4}" name="Tabelle4" displayName="Tabelle4" ref="J2:P14" totalsRowShown="0" headerRowDxfId="1" headerRowBorderDxfId="2" tableBorderDxfId="3">
  <autoFilter ref="J2:P14" xr:uid="{B80BD6E3-384F-4B76-84FA-51FF1729A8B4}"/>
  <tableColumns count="7">
    <tableColumn id="7" xr3:uid="{6613CE23-6B5A-4DC3-9ED9-0E6418195799}" name="Criterion" dataDxfId="0"/>
    <tableColumn id="1" xr3:uid="{2BA72377-3D92-411F-AB04-C54F71918D23}" name="ChatGPT GPT-5.5">
      <calculatedColumnFormula>AVERAGE(C3,C18)</calculatedColumnFormula>
    </tableColumn>
    <tableColumn id="2" xr3:uid="{5B6447C1-9E26-496B-91C6-372AC5B7FD77}" name="Claude Sonnet 4.6">
      <calculatedColumnFormula>AVERAGE(D3,D18)</calculatedColumnFormula>
    </tableColumn>
    <tableColumn id="3" xr3:uid="{0E541D2F-141D-44EF-996F-FC1737BC25CD}" name="Deepseek-V3 DeepThink-Mode">
      <calculatedColumnFormula>AVERAGE(E3,E18)</calculatedColumnFormula>
    </tableColumn>
    <tableColumn id="4" xr3:uid="{17C2B286-A9DC-4EC0-80D3-349ECD7DBD49}" name="Grok 4 Fast-Mode">
      <calculatedColumnFormula>AVERAGE(F3,F18)</calculatedColumnFormula>
    </tableColumn>
    <tableColumn id="5" xr3:uid="{1CFAE70D-4D1B-40EF-9018-401F68D34995}" name="Gemini 3.5 Thinking-Mode">
      <calculatedColumnFormula>AVERAGE(G3,G18)</calculatedColumnFormula>
    </tableColumn>
    <tableColumn id="6" xr3:uid="{6214F121-A75F-4FC7-A847-E11995A58DF6}" name="Perplexity">
      <calculatedColumnFormula>AVERAGE(H3,H18)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9B4F-EBB6-49AA-9373-21D23560D6B6}">
  <dimension ref="A1:P29"/>
  <sheetViews>
    <sheetView tabSelected="1" workbookViewId="0">
      <selection activeCell="A17" sqref="A17"/>
    </sheetView>
  </sheetViews>
  <sheetFormatPr baseColWidth="10" defaultRowHeight="14.25" x14ac:dyDescent="0.45"/>
  <cols>
    <col min="1" max="1" width="37.19921875" customWidth="1"/>
    <col min="2" max="2" width="62.46484375" customWidth="1"/>
    <col min="3" max="3" width="11.33203125" customWidth="1"/>
    <col min="4" max="4" width="11.265625" customWidth="1"/>
    <col min="5" max="5" width="11.33203125" customWidth="1"/>
    <col min="6" max="6" width="11.796875" customWidth="1"/>
    <col min="7" max="7" width="11.59765625" customWidth="1"/>
    <col min="10" max="10" width="23.53125" customWidth="1"/>
    <col min="11" max="16" width="10.59765625" customWidth="1"/>
  </cols>
  <sheetData>
    <row r="1" spans="1:16" ht="34.5" thickBot="1" x14ac:dyDescent="0.5">
      <c r="A1" s="5" t="s">
        <v>32</v>
      </c>
      <c r="J1" s="5" t="s">
        <v>31</v>
      </c>
    </row>
    <row r="2" spans="1:16" ht="32.65" customHeight="1" thickBot="1" x14ac:dyDescent="0.5">
      <c r="A2" s="4" t="s">
        <v>0</v>
      </c>
      <c r="B2" s="4" t="s">
        <v>1</v>
      </c>
      <c r="C2" t="s">
        <v>16</v>
      </c>
      <c r="D2" t="s">
        <v>17</v>
      </c>
      <c r="E2" t="s">
        <v>19</v>
      </c>
      <c r="F2" t="s">
        <v>20</v>
      </c>
      <c r="G2" t="s">
        <v>18</v>
      </c>
      <c r="H2" t="s">
        <v>15</v>
      </c>
      <c r="J2" s="6" t="s">
        <v>0</v>
      </c>
      <c r="K2" s="12" t="s">
        <v>16</v>
      </c>
      <c r="L2" s="12" t="s">
        <v>17</v>
      </c>
      <c r="M2" s="12" t="s">
        <v>19</v>
      </c>
      <c r="N2" s="12" t="s">
        <v>20</v>
      </c>
      <c r="O2" s="12" t="s">
        <v>18</v>
      </c>
      <c r="P2" s="12" t="s">
        <v>15</v>
      </c>
    </row>
    <row r="3" spans="1:16" ht="25.05" customHeight="1" x14ac:dyDescent="0.45">
      <c r="A3" s="2" t="s">
        <v>6</v>
      </c>
      <c r="B3" s="1" t="s">
        <v>21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J3" s="7" t="s">
        <v>6</v>
      </c>
      <c r="K3">
        <f>AVERAGE(C3,C18)</f>
        <v>1</v>
      </c>
      <c r="L3">
        <f>AVERAGE(D3,D18)</f>
        <v>1</v>
      </c>
      <c r="M3">
        <f>AVERAGE(E3,E18)</f>
        <v>1</v>
      </c>
      <c r="N3">
        <f>AVERAGE(F3,F18)</f>
        <v>1</v>
      </c>
      <c r="O3">
        <f>AVERAGE(G3,G18)</f>
        <v>1</v>
      </c>
      <c r="P3">
        <f>AVERAGE(H3,H18)</f>
        <v>1</v>
      </c>
    </row>
    <row r="4" spans="1:16" ht="25.05" customHeight="1" x14ac:dyDescent="0.45">
      <c r="A4" s="2" t="s">
        <v>10</v>
      </c>
      <c r="B4" s="1" t="s">
        <v>9</v>
      </c>
      <c r="C4">
        <v>1</v>
      </c>
      <c r="D4">
        <v>1</v>
      </c>
      <c r="E4">
        <v>1</v>
      </c>
      <c r="F4">
        <v>0.5</v>
      </c>
      <c r="G4">
        <v>1</v>
      </c>
      <c r="H4">
        <v>1</v>
      </c>
      <c r="J4" s="8" t="s">
        <v>10</v>
      </c>
      <c r="K4">
        <f>AVERAGE(C4,C19)</f>
        <v>1</v>
      </c>
      <c r="L4">
        <f>AVERAGE(D4,D19)</f>
        <v>1</v>
      </c>
      <c r="M4">
        <f>AVERAGE(E4,E19)</f>
        <v>1</v>
      </c>
      <c r="N4">
        <f>AVERAGE(F4,F19)</f>
        <v>0.5</v>
      </c>
      <c r="O4">
        <f>AVERAGE(G4,G19)</f>
        <v>1</v>
      </c>
      <c r="P4">
        <f>AVERAGE(H4,H19)</f>
        <v>1</v>
      </c>
    </row>
    <row r="5" spans="1:16" ht="25.05" customHeight="1" x14ac:dyDescent="0.45">
      <c r="A5" s="3" t="s">
        <v>2</v>
      </c>
      <c r="B5" s="1" t="s">
        <v>11</v>
      </c>
      <c r="C5">
        <v>1</v>
      </c>
      <c r="D5">
        <v>1</v>
      </c>
      <c r="E5">
        <v>1</v>
      </c>
      <c r="F5">
        <v>0.5</v>
      </c>
      <c r="G5">
        <v>1</v>
      </c>
      <c r="H5">
        <v>0.5</v>
      </c>
      <c r="J5" s="7" t="s">
        <v>2</v>
      </c>
      <c r="K5">
        <f>AVERAGE(C5,C20)</f>
        <v>1</v>
      </c>
      <c r="L5">
        <f>AVERAGE(D5,D20)</f>
        <v>1</v>
      </c>
      <c r="M5">
        <f>AVERAGE(E5,E20)</f>
        <v>1</v>
      </c>
      <c r="N5">
        <f>AVERAGE(F5,F20)</f>
        <v>0.5</v>
      </c>
      <c r="O5">
        <f>AVERAGE(G5,G20)</f>
        <v>1</v>
      </c>
      <c r="P5">
        <f>AVERAGE(H5,H20)</f>
        <v>0.75</v>
      </c>
    </row>
    <row r="6" spans="1:16" ht="25.05" customHeight="1" x14ac:dyDescent="0.45">
      <c r="A6" s="3" t="s">
        <v>12</v>
      </c>
      <c r="B6" s="1" t="s">
        <v>13</v>
      </c>
      <c r="C6">
        <v>0.5</v>
      </c>
      <c r="D6">
        <v>1</v>
      </c>
      <c r="E6">
        <v>0.5</v>
      </c>
      <c r="F6">
        <v>0.5</v>
      </c>
      <c r="G6">
        <v>0.5</v>
      </c>
      <c r="H6">
        <v>0</v>
      </c>
      <c r="J6" s="8" t="s">
        <v>12</v>
      </c>
      <c r="K6">
        <f>AVERAGE(C6,C21)</f>
        <v>0.5</v>
      </c>
      <c r="L6">
        <f>AVERAGE(D6,D21)</f>
        <v>1</v>
      </c>
      <c r="M6">
        <f>AVERAGE(E6,E21)</f>
        <v>0.5</v>
      </c>
      <c r="N6">
        <f>AVERAGE(F6,F21)</f>
        <v>0.25</v>
      </c>
      <c r="O6">
        <f>AVERAGE(G6,G21)</f>
        <v>0.75</v>
      </c>
      <c r="P6">
        <f>AVERAGE(H6,H21)</f>
        <v>0.25</v>
      </c>
    </row>
    <row r="7" spans="1:16" ht="25.05" customHeight="1" x14ac:dyDescent="0.45">
      <c r="A7" s="3" t="s">
        <v>7</v>
      </c>
      <c r="B7" s="1" t="s">
        <v>28</v>
      </c>
      <c r="C7">
        <v>1</v>
      </c>
      <c r="D7">
        <v>1</v>
      </c>
      <c r="E7">
        <v>0.5</v>
      </c>
      <c r="F7">
        <v>0</v>
      </c>
      <c r="G7">
        <v>0.5</v>
      </c>
      <c r="H7">
        <v>0.5</v>
      </c>
      <c r="J7" s="7" t="s">
        <v>7</v>
      </c>
      <c r="K7">
        <f>AVERAGE(C7,C22)</f>
        <v>1</v>
      </c>
      <c r="L7">
        <f>AVERAGE(D7,D22)</f>
        <v>1</v>
      </c>
      <c r="M7">
        <f>AVERAGE(E7,E22)</f>
        <v>0.5</v>
      </c>
      <c r="N7">
        <f>AVERAGE(F7,F22)</f>
        <v>0</v>
      </c>
      <c r="O7">
        <f>AVERAGE(G7,G22)</f>
        <v>0.75</v>
      </c>
      <c r="P7">
        <f>AVERAGE(H7,H22)</f>
        <v>0.75</v>
      </c>
    </row>
    <row r="8" spans="1:16" ht="25.05" customHeight="1" x14ac:dyDescent="0.45">
      <c r="A8" s="3" t="s">
        <v>24</v>
      </c>
      <c r="B8" s="1" t="s">
        <v>25</v>
      </c>
      <c r="C8">
        <v>0.5</v>
      </c>
      <c r="D8">
        <v>1</v>
      </c>
      <c r="E8">
        <v>0.5</v>
      </c>
      <c r="F8">
        <v>0</v>
      </c>
      <c r="G8">
        <v>0</v>
      </c>
      <c r="H8">
        <v>0</v>
      </c>
      <c r="J8" s="8" t="s">
        <v>24</v>
      </c>
      <c r="K8">
        <f>AVERAGE(C8,C23)</f>
        <v>0.5</v>
      </c>
      <c r="L8">
        <f>AVERAGE(D8,D23)</f>
        <v>1</v>
      </c>
      <c r="M8">
        <f>AVERAGE(E8,E23)</f>
        <v>0.75</v>
      </c>
      <c r="N8">
        <f>AVERAGE(F8,F23)</f>
        <v>0.5</v>
      </c>
      <c r="O8">
        <f>AVERAGE(G8,G23)</f>
        <v>0.25</v>
      </c>
      <c r="P8">
        <f>AVERAGE(H8,H23)</f>
        <v>0.5</v>
      </c>
    </row>
    <row r="9" spans="1:16" ht="25.05" customHeight="1" x14ac:dyDescent="0.45">
      <c r="A9" s="3" t="s">
        <v>23</v>
      </c>
      <c r="B9" s="1" t="s">
        <v>26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J9" s="7" t="s">
        <v>23</v>
      </c>
      <c r="K9">
        <f>AVERAGE(C9,C24)</f>
        <v>0.25</v>
      </c>
      <c r="L9">
        <f>AVERAGE(D9,D24)</f>
        <v>1</v>
      </c>
      <c r="M9">
        <f>AVERAGE(E9,E24)</f>
        <v>0</v>
      </c>
      <c r="N9">
        <f>AVERAGE(F9,F24)</f>
        <v>0</v>
      </c>
      <c r="O9">
        <f>AVERAGE(G9,G24)</f>
        <v>0</v>
      </c>
      <c r="P9">
        <f>AVERAGE(H9,H24)</f>
        <v>0.5</v>
      </c>
    </row>
    <row r="10" spans="1:16" ht="25.05" customHeight="1" x14ac:dyDescent="0.45">
      <c r="A10" s="3" t="s">
        <v>22</v>
      </c>
      <c r="B10" s="1" t="s">
        <v>27</v>
      </c>
      <c r="C10">
        <v>0</v>
      </c>
      <c r="D10">
        <v>1</v>
      </c>
      <c r="E10">
        <v>0.5</v>
      </c>
      <c r="F10">
        <v>0</v>
      </c>
      <c r="G10">
        <v>0.5</v>
      </c>
      <c r="H10">
        <v>0.5</v>
      </c>
      <c r="J10" s="8" t="s">
        <v>22</v>
      </c>
      <c r="K10">
        <f>AVERAGE(C10,C25)</f>
        <v>0.25</v>
      </c>
      <c r="L10">
        <f>AVERAGE(D10,D25)</f>
        <v>1</v>
      </c>
      <c r="M10">
        <f>AVERAGE(E10,E25)</f>
        <v>0.25</v>
      </c>
      <c r="N10">
        <f>AVERAGE(F10,F25)</f>
        <v>0</v>
      </c>
      <c r="O10">
        <f>AVERAGE(G10,G25)</f>
        <v>0.5</v>
      </c>
      <c r="P10">
        <f>AVERAGE(H10,H25)</f>
        <v>0.5</v>
      </c>
    </row>
    <row r="11" spans="1:16" ht="25.05" customHeight="1" x14ac:dyDescent="0.45">
      <c r="A11" s="3" t="s">
        <v>8</v>
      </c>
      <c r="B11" s="1" t="s">
        <v>14</v>
      </c>
      <c r="C11">
        <v>0.5</v>
      </c>
      <c r="D11">
        <v>1</v>
      </c>
      <c r="E11">
        <v>0.5</v>
      </c>
      <c r="F11">
        <v>0</v>
      </c>
      <c r="G11">
        <v>0.5</v>
      </c>
      <c r="H11">
        <v>0</v>
      </c>
      <c r="J11" s="7" t="s">
        <v>8</v>
      </c>
      <c r="K11">
        <f>AVERAGE(C11,C26)</f>
        <v>0.5</v>
      </c>
      <c r="L11">
        <f>AVERAGE(D11,D26)</f>
        <v>1</v>
      </c>
      <c r="M11">
        <f>AVERAGE(E11,E26)</f>
        <v>0.5</v>
      </c>
      <c r="N11">
        <f>AVERAGE(F11,F26)</f>
        <v>0.25</v>
      </c>
      <c r="O11">
        <f>AVERAGE(G11,G26)</f>
        <v>0.5</v>
      </c>
      <c r="P11">
        <f>AVERAGE(H11,H26)</f>
        <v>0.25</v>
      </c>
    </row>
    <row r="12" spans="1:16" ht="25.05" customHeight="1" x14ac:dyDescent="0.45">
      <c r="A12" s="2" t="s">
        <v>4</v>
      </c>
      <c r="B12" s="1" t="s">
        <v>29</v>
      </c>
      <c r="C12">
        <v>1</v>
      </c>
      <c r="D12">
        <v>1</v>
      </c>
      <c r="E12">
        <v>1</v>
      </c>
      <c r="F12">
        <v>0.5</v>
      </c>
      <c r="G12">
        <v>1</v>
      </c>
      <c r="H12">
        <v>1</v>
      </c>
      <c r="J12" s="8" t="s">
        <v>4</v>
      </c>
      <c r="K12">
        <f>AVERAGE(C12,C27)</f>
        <v>0.75</v>
      </c>
      <c r="L12">
        <f>AVERAGE(D12,D27)</f>
        <v>1</v>
      </c>
      <c r="M12">
        <f>AVERAGE(E12,E27)</f>
        <v>1</v>
      </c>
      <c r="N12">
        <f>AVERAGE(F12,F27)</f>
        <v>0.5</v>
      </c>
      <c r="O12">
        <f>AVERAGE(G12,G27)</f>
        <v>1</v>
      </c>
      <c r="P12">
        <f>AVERAGE(H12,H27)</f>
        <v>1</v>
      </c>
    </row>
    <row r="13" spans="1:16" ht="28.5" x14ac:dyDescent="0.45">
      <c r="A13" s="2" t="s">
        <v>5</v>
      </c>
      <c r="B13" s="1" t="s">
        <v>3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J13" s="7" t="s">
        <v>5</v>
      </c>
      <c r="K13">
        <f>AVERAGE(C13,C28)</f>
        <v>1</v>
      </c>
      <c r="L13">
        <f>AVERAGE(D13,D28)</f>
        <v>1</v>
      </c>
      <c r="M13">
        <f>AVERAGE(E13,E28)</f>
        <v>1</v>
      </c>
      <c r="N13">
        <f>AVERAGE(F13,F28)</f>
        <v>1</v>
      </c>
      <c r="O13">
        <f>AVERAGE(G13,G28)</f>
        <v>1</v>
      </c>
      <c r="P13">
        <f>AVERAGE(H13,H28)</f>
        <v>1</v>
      </c>
    </row>
    <row r="14" spans="1:16" ht="25.05" customHeight="1" thickBot="1" x14ac:dyDescent="0.5">
      <c r="A14" s="10" t="s">
        <v>30</v>
      </c>
      <c r="B14" s="11"/>
      <c r="C14" s="10">
        <f>SUM(C3:C13)</f>
        <v>7.5</v>
      </c>
      <c r="D14" s="10">
        <f t="shared" ref="D14:H14" si="0">SUM(D3:D13)</f>
        <v>11</v>
      </c>
      <c r="E14" s="10">
        <f t="shared" si="0"/>
        <v>7.5</v>
      </c>
      <c r="F14" s="10">
        <f t="shared" si="0"/>
        <v>4</v>
      </c>
      <c r="G14" s="10">
        <f t="shared" si="0"/>
        <v>7</v>
      </c>
      <c r="H14" s="10">
        <f t="shared" si="0"/>
        <v>5.5</v>
      </c>
      <c r="J14" s="9" t="s">
        <v>30</v>
      </c>
      <c r="K14">
        <f>AVERAGE(C14,C29)</f>
        <v>7.75</v>
      </c>
      <c r="L14">
        <f>AVERAGE(D14,D29)</f>
        <v>11</v>
      </c>
      <c r="M14">
        <f>AVERAGE(E14,E29)</f>
        <v>7.5</v>
      </c>
      <c r="N14">
        <f>AVERAGE(F14,F29)</f>
        <v>4.5</v>
      </c>
      <c r="O14">
        <f>AVERAGE(G14,G29)</f>
        <v>7.75</v>
      </c>
      <c r="P14">
        <f>AVERAGE(H14,H29)</f>
        <v>7.5</v>
      </c>
    </row>
    <row r="16" spans="1:16" ht="34.15" x14ac:dyDescent="0.45">
      <c r="A16" s="5" t="s">
        <v>33</v>
      </c>
    </row>
    <row r="17" spans="1:8" x14ac:dyDescent="0.45">
      <c r="A17" s="4" t="s">
        <v>0</v>
      </c>
      <c r="B17" s="4" t="s">
        <v>1</v>
      </c>
      <c r="C17" t="s">
        <v>16</v>
      </c>
      <c r="D17" t="s">
        <v>17</v>
      </c>
      <c r="E17" t="s">
        <v>19</v>
      </c>
      <c r="F17" t="s">
        <v>20</v>
      </c>
      <c r="G17" t="s">
        <v>18</v>
      </c>
      <c r="H17" t="s">
        <v>15</v>
      </c>
    </row>
    <row r="18" spans="1:8" ht="28.5" x14ac:dyDescent="0.45">
      <c r="A18" s="2" t="s">
        <v>6</v>
      </c>
      <c r="B18" s="1" t="s">
        <v>21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</row>
    <row r="19" spans="1:8" x14ac:dyDescent="0.45">
      <c r="A19" s="2" t="s">
        <v>10</v>
      </c>
      <c r="B19" s="1" t="s">
        <v>9</v>
      </c>
      <c r="C19">
        <v>1</v>
      </c>
      <c r="D19">
        <v>1</v>
      </c>
      <c r="E19">
        <v>1</v>
      </c>
      <c r="F19">
        <v>0.5</v>
      </c>
      <c r="G19">
        <v>1</v>
      </c>
      <c r="H19">
        <v>1</v>
      </c>
    </row>
    <row r="20" spans="1:8" x14ac:dyDescent="0.45">
      <c r="A20" s="3" t="s">
        <v>2</v>
      </c>
      <c r="B20" s="1" t="s">
        <v>11</v>
      </c>
      <c r="C20">
        <v>1</v>
      </c>
      <c r="D20">
        <v>1</v>
      </c>
      <c r="E20">
        <v>1</v>
      </c>
      <c r="F20">
        <v>0.5</v>
      </c>
      <c r="G20">
        <v>1</v>
      </c>
      <c r="H20">
        <v>1</v>
      </c>
    </row>
    <row r="21" spans="1:8" x14ac:dyDescent="0.45">
      <c r="A21" s="3" t="s">
        <v>12</v>
      </c>
      <c r="B21" s="1" t="s">
        <v>13</v>
      </c>
      <c r="C21">
        <v>0.5</v>
      </c>
      <c r="D21">
        <v>1</v>
      </c>
      <c r="E21">
        <v>0.5</v>
      </c>
      <c r="F21">
        <v>0</v>
      </c>
      <c r="G21">
        <v>1</v>
      </c>
      <c r="H21">
        <v>0.5</v>
      </c>
    </row>
    <row r="22" spans="1:8" ht="28.5" x14ac:dyDescent="0.45">
      <c r="A22" s="3" t="s">
        <v>7</v>
      </c>
      <c r="B22" s="1" t="s">
        <v>28</v>
      </c>
      <c r="C22">
        <v>1</v>
      </c>
      <c r="D22">
        <v>1</v>
      </c>
      <c r="E22">
        <v>0.5</v>
      </c>
      <c r="F22">
        <v>0</v>
      </c>
      <c r="G22">
        <v>1</v>
      </c>
      <c r="H22">
        <v>1</v>
      </c>
    </row>
    <row r="23" spans="1:8" ht="25.05" customHeight="1" x14ac:dyDescent="0.45">
      <c r="A23" s="3" t="s">
        <v>24</v>
      </c>
      <c r="B23" s="1" t="s">
        <v>25</v>
      </c>
      <c r="C23">
        <v>0.5</v>
      </c>
      <c r="D23">
        <v>1</v>
      </c>
      <c r="E23">
        <v>1</v>
      </c>
      <c r="F23">
        <v>1</v>
      </c>
      <c r="G23">
        <v>0.5</v>
      </c>
      <c r="H23">
        <v>1</v>
      </c>
    </row>
    <row r="24" spans="1:8" ht="28.5" x14ac:dyDescent="0.45">
      <c r="A24" s="3" t="s">
        <v>23</v>
      </c>
      <c r="B24" s="1" t="s">
        <v>26</v>
      </c>
      <c r="C24">
        <v>0.5</v>
      </c>
      <c r="D24">
        <v>1</v>
      </c>
      <c r="E24">
        <v>0</v>
      </c>
      <c r="F24">
        <v>0</v>
      </c>
      <c r="G24">
        <v>0</v>
      </c>
      <c r="H24">
        <v>1</v>
      </c>
    </row>
    <row r="25" spans="1:8" ht="28.5" x14ac:dyDescent="0.45">
      <c r="A25" s="3" t="s">
        <v>22</v>
      </c>
      <c r="B25" s="1" t="s">
        <v>27</v>
      </c>
      <c r="C25">
        <v>0.5</v>
      </c>
      <c r="D25">
        <v>1</v>
      </c>
      <c r="E25">
        <v>0</v>
      </c>
      <c r="F25">
        <v>0</v>
      </c>
      <c r="G25">
        <v>0.5</v>
      </c>
      <c r="H25">
        <v>0.5</v>
      </c>
    </row>
    <row r="26" spans="1:8" ht="28.5" x14ac:dyDescent="0.45">
      <c r="A26" s="3" t="s">
        <v>8</v>
      </c>
      <c r="B26" s="1" t="s">
        <v>14</v>
      </c>
      <c r="C26">
        <v>0.5</v>
      </c>
      <c r="D26">
        <v>1</v>
      </c>
      <c r="E26">
        <v>0.5</v>
      </c>
      <c r="F26">
        <v>0.5</v>
      </c>
      <c r="G26">
        <v>0.5</v>
      </c>
      <c r="H26">
        <v>0.5</v>
      </c>
    </row>
    <row r="27" spans="1:8" ht="28.5" x14ac:dyDescent="0.45">
      <c r="A27" s="2" t="s">
        <v>4</v>
      </c>
      <c r="B27" s="1" t="s">
        <v>29</v>
      </c>
      <c r="C27">
        <v>0.5</v>
      </c>
      <c r="D27">
        <v>1</v>
      </c>
      <c r="E27">
        <v>1</v>
      </c>
      <c r="F27">
        <v>0.5</v>
      </c>
      <c r="G27">
        <v>1</v>
      </c>
      <c r="H27">
        <v>1</v>
      </c>
    </row>
    <row r="28" spans="1:8" ht="28.5" x14ac:dyDescent="0.45">
      <c r="A28" s="2" t="s">
        <v>5</v>
      </c>
      <c r="B28" s="1" t="s">
        <v>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</row>
    <row r="29" spans="1:8" ht="25.05" customHeight="1" x14ac:dyDescent="0.45">
      <c r="A29" s="10" t="s">
        <v>30</v>
      </c>
      <c r="B29" s="11"/>
      <c r="C29" s="10">
        <f>SUM(C18:C28)</f>
        <v>8</v>
      </c>
      <c r="D29" s="10">
        <f t="shared" ref="D29" si="1">SUM(D18:D28)</f>
        <v>11</v>
      </c>
      <c r="E29" s="10">
        <f t="shared" ref="E29" si="2">SUM(E18:E28)</f>
        <v>7.5</v>
      </c>
      <c r="F29" s="10">
        <f t="shared" ref="F29" si="3">SUM(F18:F28)</f>
        <v>5</v>
      </c>
      <c r="G29" s="10">
        <f t="shared" ref="G29" si="4">SUM(G18:G28)</f>
        <v>8.5</v>
      </c>
      <c r="H29" s="10">
        <f t="shared" ref="H29" si="5">SUM(H18:H28)</f>
        <v>9.5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LLM-comparison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El-Sherbiny, Sarah</dc:creator>
  <cp:lastModifiedBy>El-Sherbiny, Sarah</cp:lastModifiedBy>
  <dcterms:created xsi:type="dcterms:W3CDTF">2026-05-20T12:14:09Z</dcterms:created>
  <dcterms:modified xsi:type="dcterms:W3CDTF">2026-05-21T15:32:42Z</dcterms:modified>
</cp:coreProperties>
</file>