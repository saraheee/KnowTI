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e\Documents\Repos\KT-Study-Questionnaires\appendix\final\"/>
    </mc:Choice>
  </mc:AlternateContent>
  <xr:revisionPtr revIDLastSave="0" documentId="13_ncr:1_{1770169D-1691-4EA5-B83E-C83750C52F05}" xr6:coauthVersionLast="47" xr6:coauthVersionMax="47" xr10:uidLastSave="{00000000-0000-0000-0000-000000000000}"/>
  <bookViews>
    <workbookView xWindow="-1752" yWindow="-17388" windowWidth="41496" windowHeight="17496" tabRatio="500" xr2:uid="{00000000-000D-0000-FFFF-FFFF00000000}"/>
  </bookViews>
  <sheets>
    <sheet name="Participants-Background" sheetId="23" r:id="rId1"/>
    <sheet name="Biology-Background" sheetId="24" r:id="rId2"/>
    <sheet name="Biology-Comments" sheetId="26" r:id="rId3"/>
    <sheet name="K-Preferred" sheetId="27" r:id="rId4"/>
    <sheet name="V-Preferred" sheetId="28" r:id="rId5"/>
    <sheet name="No-Preference" sheetId="29" r:id="rId6"/>
    <sheet name="K-Application" sheetId="31" r:id="rId7"/>
    <sheet name="V-Application" sheetId="32" r:id="rId8"/>
    <sheet name="K-Enhancements" sheetId="33" r:id="rId9"/>
    <sheet name="V-Enhancements" sheetId="34" r:id="rId10"/>
    <sheet name="LLM-Tasks" sheetId="35" r:id="rId11"/>
    <sheet name="LLM-Content" sheetId="36" r:id="rId12"/>
    <sheet name="LLM-Attitude" sheetId="37" r:id="rId13"/>
    <sheet name="Final-Comments" sheetId="38" r:id="rId14"/>
    <sheet name="EE-graph" sheetId="15" r:id="rId15"/>
    <sheet name="EW-graph" sheetId="16" r:id="rId16"/>
    <sheet name="GE-graph" sheetId="17" r:id="rId17"/>
    <sheet name="GW-graph" sheetId="18" r:id="rId18"/>
    <sheet name="EE-ret" sheetId="19" r:id="rId19"/>
    <sheet name="EW-ret" sheetId="20" r:id="rId20"/>
    <sheet name="GE-ret" sheetId="21" r:id="rId21"/>
    <sheet name="GW-ret" sheetId="22" r:id="rId2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4" i="38" l="1"/>
  <c r="K25" i="38"/>
  <c r="K26" i="38"/>
  <c r="K23" i="38"/>
  <c r="K22" i="38"/>
  <c r="K21" i="38"/>
  <c r="K20" i="38"/>
  <c r="K14" i="38"/>
  <c r="K13" i="38"/>
  <c r="K12" i="38"/>
  <c r="K6" i="38"/>
  <c r="K5" i="38"/>
  <c r="K4" i="38"/>
  <c r="I23" i="37"/>
  <c r="I22" i="37"/>
  <c r="I21" i="37"/>
  <c r="I20" i="37"/>
  <c r="I14" i="37"/>
  <c r="I13" i="37"/>
  <c r="I12" i="37"/>
  <c r="I6" i="37"/>
  <c r="I5" i="37"/>
  <c r="I4" i="37"/>
  <c r="I15" i="36"/>
  <c r="I24" i="36"/>
  <c r="I26" i="36"/>
  <c r="I27" i="36"/>
  <c r="I25" i="36"/>
  <c r="I17" i="36"/>
  <c r="I18" i="36"/>
  <c r="I16" i="36"/>
  <c r="I14" i="36"/>
  <c r="I8" i="36"/>
  <c r="I7" i="36"/>
  <c r="I6" i="36"/>
  <c r="I5" i="36"/>
  <c r="I4" i="36"/>
  <c r="I17" i="35"/>
  <c r="I8" i="35"/>
  <c r="I33" i="35"/>
  <c r="I19" i="35"/>
  <c r="I32" i="35"/>
  <c r="I31" i="35"/>
  <c r="I30" i="35"/>
  <c r="I29" i="35"/>
  <c r="I28" i="35"/>
  <c r="I27" i="35"/>
  <c r="I21" i="35"/>
  <c r="I20" i="35"/>
  <c r="I18" i="35"/>
  <c r="I16" i="35"/>
  <c r="I10" i="35"/>
  <c r="I4" i="35"/>
  <c r="I9" i="35"/>
  <c r="I7" i="35"/>
  <c r="I6" i="35"/>
  <c r="I5" i="35"/>
  <c r="I29" i="34"/>
  <c r="I28" i="34"/>
  <c r="I27" i="34"/>
  <c r="I26" i="34"/>
  <c r="I25" i="34"/>
  <c r="I24" i="34"/>
  <c r="I17" i="34"/>
  <c r="I18" i="34"/>
  <c r="I15" i="34"/>
  <c r="I16" i="34"/>
  <c r="I5" i="34"/>
  <c r="I4" i="34"/>
  <c r="I7" i="34"/>
  <c r="I8" i="34"/>
  <c r="I9" i="34"/>
  <c r="I6" i="34"/>
  <c r="I19" i="33"/>
  <c r="I5" i="33"/>
  <c r="I10" i="33"/>
  <c r="I32" i="33"/>
  <c r="I31" i="33"/>
  <c r="I30" i="33"/>
  <c r="I29" i="33"/>
  <c r="I33" i="33"/>
  <c r="I28" i="33"/>
  <c r="I27" i="33"/>
  <c r="I21" i="33"/>
  <c r="I20" i="33"/>
  <c r="I18" i="33"/>
  <c r="I17" i="33"/>
  <c r="I16" i="33"/>
  <c r="I9" i="33"/>
  <c r="I8" i="33"/>
  <c r="I7" i="33"/>
  <c r="I6" i="33"/>
  <c r="I4" i="33"/>
  <c r="I14" i="32"/>
  <c r="I15" i="32"/>
  <c r="I17" i="32"/>
  <c r="I16" i="32"/>
  <c r="I18" i="32"/>
  <c r="I28" i="32"/>
  <c r="I27" i="32"/>
  <c r="I26" i="32"/>
  <c r="I25" i="32"/>
  <c r="I24" i="32"/>
  <c r="I8" i="32"/>
  <c r="I7" i="32"/>
  <c r="I6" i="32"/>
  <c r="I5" i="32"/>
  <c r="I4" i="32"/>
  <c r="I28" i="31"/>
  <c r="I24" i="31"/>
  <c r="I27" i="31"/>
  <c r="I18" i="31"/>
  <c r="I16" i="31"/>
  <c r="I4" i="31"/>
  <c r="I6" i="31"/>
  <c r="I29" i="31"/>
  <c r="I26" i="31"/>
  <c r="I25" i="31"/>
  <c r="I17" i="31"/>
  <c r="I15" i="31"/>
  <c r="I14" i="31"/>
  <c r="I7" i="31"/>
  <c r="I5" i="31"/>
  <c r="I8" i="31"/>
  <c r="K7" i="38" l="1"/>
  <c r="K15" i="38"/>
  <c r="K27" i="38"/>
  <c r="I7" i="37"/>
  <c r="I15" i="37"/>
  <c r="I24" i="37"/>
  <c r="I28" i="36"/>
  <c r="I19" i="36"/>
  <c r="I9" i="36"/>
  <c r="I22" i="35"/>
  <c r="I11" i="35"/>
  <c r="I34" i="35"/>
  <c r="I10" i="34"/>
  <c r="I19" i="34"/>
  <c r="I30" i="34"/>
  <c r="I34" i="33"/>
  <c r="I11" i="33"/>
  <c r="I22" i="33"/>
  <c r="I29" i="32"/>
  <c r="I9" i="32"/>
  <c r="I19" i="32"/>
  <c r="I9" i="31"/>
  <c r="I19" i="31"/>
  <c r="I30" i="31"/>
  <c r="J20" i="29" l="1"/>
  <c r="J21" i="29"/>
  <c r="J22" i="29"/>
  <c r="J14" i="29"/>
  <c r="J13" i="29"/>
  <c r="J12" i="29"/>
  <c r="J6" i="29"/>
  <c r="J5" i="29"/>
  <c r="J4" i="29"/>
  <c r="I24" i="28"/>
  <c r="I23" i="28"/>
  <c r="I22" i="28"/>
  <c r="I14" i="28"/>
  <c r="I16" i="28"/>
  <c r="I15" i="28"/>
  <c r="I13" i="28"/>
  <c r="I5" i="28"/>
  <c r="I7" i="28"/>
  <c r="I6" i="28"/>
  <c r="I4" i="28"/>
  <c r="I25" i="27"/>
  <c r="I26" i="27"/>
  <c r="I27" i="27"/>
  <c r="I16" i="27"/>
  <c r="I14" i="27"/>
  <c r="I15" i="27"/>
  <c r="I17" i="27"/>
  <c r="I8" i="27"/>
  <c r="I31" i="27"/>
  <c r="I30" i="27"/>
  <c r="I29" i="27"/>
  <c r="I28" i="27"/>
  <c r="I19" i="27"/>
  <c r="I18" i="27"/>
  <c r="I7" i="27"/>
  <c r="I5" i="27"/>
  <c r="I6" i="27"/>
  <c r="I4" i="27"/>
  <c r="I24" i="26"/>
  <c r="I22" i="26"/>
  <c r="I21" i="26"/>
  <c r="I23" i="26"/>
  <c r="I15" i="26"/>
  <c r="I14" i="26"/>
  <c r="I13" i="26"/>
  <c r="I7" i="26"/>
  <c r="I6" i="26"/>
  <c r="I5" i="26"/>
  <c r="I4" i="26"/>
  <c r="J7" i="29" l="1"/>
  <c r="J15" i="29"/>
  <c r="J23" i="29"/>
  <c r="I8" i="28"/>
  <c r="I17" i="28"/>
  <c r="I25" i="28"/>
  <c r="I9" i="27"/>
  <c r="I20" i="27"/>
  <c r="I32" i="27"/>
  <c r="I25" i="26"/>
  <c r="I16" i="26"/>
  <c r="I8" i="26"/>
  <c r="I31" i="24" l="1"/>
  <c r="I4" i="24"/>
  <c r="I30" i="24"/>
  <c r="I29" i="24"/>
  <c r="I28" i="24"/>
  <c r="I27" i="24"/>
  <c r="I21" i="24"/>
  <c r="I20" i="24"/>
  <c r="I19" i="24"/>
  <c r="I18" i="24"/>
  <c r="I17" i="24"/>
  <c r="I16" i="24"/>
  <c r="I15" i="24"/>
  <c r="I14" i="24"/>
  <c r="I8" i="24"/>
  <c r="I7" i="24"/>
  <c r="I6" i="24"/>
  <c r="I5" i="24"/>
  <c r="I32" i="23"/>
  <c r="I31" i="23"/>
  <c r="I30" i="23"/>
  <c r="I29" i="23"/>
  <c r="I23" i="23"/>
  <c r="I22" i="23"/>
  <c r="I21" i="23"/>
  <c r="I20" i="23"/>
  <c r="I19" i="23"/>
  <c r="I18" i="23"/>
  <c r="I17" i="23"/>
  <c r="I16" i="23"/>
  <c r="I15" i="23"/>
  <c r="I14" i="23"/>
  <c r="I8" i="23"/>
  <c r="I7" i="23"/>
  <c r="I6" i="23"/>
  <c r="I5" i="23"/>
  <c r="I4" i="23"/>
  <c r="I32" i="24" l="1"/>
  <c r="I9" i="24"/>
  <c r="I22" i="24"/>
  <c r="I33" i="23"/>
  <c r="I24" i="23"/>
  <c r="I9" i="23"/>
  <c r="H17" i="22" l="1"/>
  <c r="H16" i="22"/>
  <c r="H15" i="22"/>
  <c r="H13" i="22"/>
  <c r="H14" i="22"/>
  <c r="H17" i="21"/>
  <c r="H16" i="21"/>
  <c r="H15" i="21"/>
  <c r="H14" i="21"/>
  <c r="H13" i="21"/>
  <c r="H16" i="20"/>
  <c r="H14" i="20"/>
  <c r="H15" i="20"/>
  <c r="H13" i="20"/>
  <c r="H16" i="19"/>
  <c r="H15" i="19"/>
  <c r="H14" i="19"/>
  <c r="H13" i="19"/>
  <c r="F8" i="18"/>
  <c r="F7" i="18"/>
  <c r="F6" i="18"/>
  <c r="F8" i="17"/>
  <c r="F7" i="17"/>
  <c r="F6" i="17"/>
  <c r="F9" i="16"/>
  <c r="F8" i="16"/>
  <c r="F7" i="16"/>
  <c r="F6" i="16"/>
  <c r="F9" i="15"/>
  <c r="F8" i="15"/>
  <c r="F7" i="15"/>
  <c r="F6" i="15"/>
  <c r="H18" i="21" l="1"/>
  <c r="F9" i="18"/>
  <c r="F10" i="15"/>
  <c r="F10" i="16"/>
  <c r="F9" i="17"/>
  <c r="H17" i="20"/>
  <c r="H18" i="22"/>
  <c r="H17" i="19"/>
</calcChain>
</file>

<file path=xl/sharedStrings.xml><?xml version="1.0" encoding="utf-8"?>
<sst xmlns="http://schemas.openxmlformats.org/spreadsheetml/2006/main" count="7345" uniqueCount="1588">
  <si>
    <t>Background (study, job, ...)</t>
  </si>
  <si>
    <t>Utterance</t>
  </si>
  <si>
    <t>Code</t>
  </si>
  <si>
    <t>Theme</t>
  </si>
  <si>
    <t>Pos/Neg</t>
  </si>
  <si>
    <t>Mentions</t>
  </si>
  <si>
    <t>Architecture</t>
  </si>
  <si>
    <t>Architecture and Spacial Planning</t>
  </si>
  <si>
    <t>neutral</t>
  </si>
  <si>
    <t>Informatics</t>
  </si>
  <si>
    <t>IT and Software Engineering</t>
  </si>
  <si>
    <t>Spacial planning</t>
  </si>
  <si>
    <t>Life Science</t>
  </si>
  <si>
    <t>History study</t>
  </si>
  <si>
    <t>History</t>
  </si>
  <si>
    <t>Media Informatics and Human Computer Interaction</t>
  </si>
  <si>
    <t>Art historian</t>
  </si>
  <si>
    <t>Medical Informatics</t>
  </si>
  <si>
    <t>Predoc Researcher Informatics</t>
  </si>
  <si>
    <t>Mathematics</t>
  </si>
  <si>
    <t>Postdoc Researcher Informatics</t>
  </si>
  <si>
    <t>Law</t>
  </si>
  <si>
    <t>Mechanical Engineering</t>
  </si>
  <si>
    <t>Predoc Researcher Theoretical Informatics</t>
  </si>
  <si>
    <t>Business informatics</t>
  </si>
  <si>
    <t>Predoc Researcher Information Security</t>
  </si>
  <si>
    <t>Informatics profession</t>
  </si>
  <si>
    <t>master in Software Engineering</t>
  </si>
  <si>
    <t>Software engineering</t>
  </si>
  <si>
    <t>Software developer</t>
  </si>
  <si>
    <t>IT job</t>
  </si>
  <si>
    <t>IT</t>
  </si>
  <si>
    <t>Software Engineering</t>
  </si>
  <si>
    <t>IT technician</t>
  </si>
  <si>
    <t>Software developer for SAP</t>
  </si>
  <si>
    <t>diploma in law</t>
  </si>
  <si>
    <t>Dialysis</t>
  </si>
  <si>
    <t>Life science</t>
  </si>
  <si>
    <t>Bachelor in agricultural sciences</t>
  </si>
  <si>
    <t>master in environmental and bioresource management</t>
  </si>
  <si>
    <t>Agricultural sciences</t>
  </si>
  <si>
    <t>Technical mathematics</t>
  </si>
  <si>
    <t>Bachelor in Mechanical Engineering</t>
  </si>
  <si>
    <t>Mechanical engineering</t>
  </si>
  <si>
    <t>Media and Human Centered Computing</t>
  </si>
  <si>
    <t>Media and HCI</t>
  </si>
  <si>
    <t>Media informatics</t>
  </si>
  <si>
    <t>Predoc Researcher Computer Vision</t>
  </si>
  <si>
    <t>Medical informatics</t>
  </si>
  <si>
    <t>Topic remembered from last biology course</t>
  </si>
  <si>
    <t>cell structure</t>
  </si>
  <si>
    <t>Cell Structures</t>
  </si>
  <si>
    <t>Cells</t>
  </si>
  <si>
    <t>Plants</t>
  </si>
  <si>
    <t>Cell structures</t>
  </si>
  <si>
    <t>Anatomy</t>
  </si>
  <si>
    <t>Components of cells</t>
  </si>
  <si>
    <t>Ecology</t>
  </si>
  <si>
    <t>Human cells</t>
  </si>
  <si>
    <t>Molecules</t>
  </si>
  <si>
    <t>Mytochondria</t>
  </si>
  <si>
    <t>Genetics</t>
  </si>
  <si>
    <t>neuron activation</t>
  </si>
  <si>
    <t>Medicine</t>
  </si>
  <si>
    <t>Structure of cells</t>
  </si>
  <si>
    <t>Zoology</t>
  </si>
  <si>
    <t>Structure of cells (animals vs. plants)</t>
  </si>
  <si>
    <t>Biological foundations of life</t>
  </si>
  <si>
    <t>biology of birds in Austria</t>
  </si>
  <si>
    <t>biology of mammals in Austria</t>
  </si>
  <si>
    <t>ecosystems</t>
  </si>
  <si>
    <t>Fauna</t>
  </si>
  <si>
    <t>Fauna by a stream</t>
  </si>
  <si>
    <t>bacteria</t>
  </si>
  <si>
    <t>Ecosystems</t>
  </si>
  <si>
    <t>wildlife ecology</t>
  </si>
  <si>
    <t>genetics</t>
  </si>
  <si>
    <t>inheritance</t>
  </si>
  <si>
    <t>propagation methods</t>
  </si>
  <si>
    <t>Human Anatomy</t>
  </si>
  <si>
    <t>anatomy</t>
  </si>
  <si>
    <t>Human anatomy</t>
  </si>
  <si>
    <t>human anatomy</t>
  </si>
  <si>
    <t>Human body</t>
  </si>
  <si>
    <t>human body</t>
  </si>
  <si>
    <t>human physiology</t>
  </si>
  <si>
    <t>humans</t>
  </si>
  <si>
    <t>People</t>
  </si>
  <si>
    <t>Biosignals</t>
  </si>
  <si>
    <t>Clinical Medicine</t>
  </si>
  <si>
    <t>Clinical medicine</t>
  </si>
  <si>
    <t>General medicine</t>
  </si>
  <si>
    <t>physics</t>
  </si>
  <si>
    <t>recognizing diseases</t>
  </si>
  <si>
    <t>biochemistry</t>
  </si>
  <si>
    <t>Molecular Biology</t>
  </si>
  <si>
    <t>Biochemistry basics</t>
  </si>
  <si>
    <t>Biological basics for chemists</t>
  </si>
  <si>
    <t>DNA replication</t>
  </si>
  <si>
    <t>DNA synthesis</t>
  </si>
  <si>
    <t>membrane potentials</t>
  </si>
  <si>
    <t>molecular biology</t>
  </si>
  <si>
    <t>Agriculture</t>
  </si>
  <si>
    <t>Plant Biology</t>
  </si>
  <si>
    <t>Botany</t>
  </si>
  <si>
    <t>botany</t>
  </si>
  <si>
    <t>Farming</t>
  </si>
  <si>
    <t>Flora</t>
  </si>
  <si>
    <t>forest</t>
  </si>
  <si>
    <t>plants</t>
  </si>
  <si>
    <t>Tree species</t>
  </si>
  <si>
    <t>trees</t>
  </si>
  <si>
    <t>plant species</t>
  </si>
  <si>
    <t>Animals</t>
  </si>
  <si>
    <t>animals</t>
  </si>
  <si>
    <t>different animal species</t>
  </si>
  <si>
    <t>Oral comments on initial knowledge questions</t>
  </si>
  <si>
    <t>Motivation</t>
  </si>
  <si>
    <t>Reasons for not having a preference</t>
  </si>
  <si>
    <t>e-learning</t>
  </si>
  <si>
    <t>News</t>
  </si>
  <si>
    <t>Brainstorming</t>
  </si>
  <si>
    <t>Which of the content presented might be generated through LLMs (or generative AI in general)</t>
  </si>
  <si>
    <t>Animation</t>
  </si>
  <si>
    <t>Audio</t>
  </si>
  <si>
    <t>Which attitude do you have towards LLMs (or generative AI in general)</t>
  </si>
  <si>
    <t>Guidelines</t>
  </si>
  <si>
    <t>Other comments</t>
  </si>
  <si>
    <t>Usability</t>
  </si>
  <si>
    <t>DNA Helix</t>
  </si>
  <si>
    <t>Comment on correctness</t>
  </si>
  <si>
    <t>Correct</t>
  </si>
  <si>
    <t>Partially Correct .. Means the right thing but formulated wrong or unaccurate</t>
  </si>
  <si>
    <t>Wrong</t>
  </si>
  <si>
    <t>White .. General comment or does not occur in the content shown</t>
  </si>
  <si>
    <t>mRNA</t>
  </si>
  <si>
    <t>DNA</t>
  </si>
  <si>
    <t>Comments on correctness</t>
  </si>
  <si>
    <t>Human Genome Project</t>
  </si>
  <si>
    <t>Work Experience</t>
  </si>
  <si>
    <t>STEM</t>
  </si>
  <si>
    <t>Social Sciences/Humanities</t>
  </si>
  <si>
    <t>Informatics / IT</t>
  </si>
  <si>
    <t>Merged Theme</t>
  </si>
  <si>
    <t>Cell Structure</t>
  </si>
  <si>
    <t>Molecular/Biophysical Sciences</t>
  </si>
  <si>
    <t>Human Biology &amp; Medicine</t>
  </si>
  <si>
    <t>Ecology &amp; Environment</t>
  </si>
  <si>
    <t>Organisms</t>
  </si>
  <si>
    <t>Experiences and Attitudes with Biology</t>
  </si>
  <si>
    <t>Knowledge Gaps and Memory</t>
  </si>
  <si>
    <t>Emotional Responses</t>
  </si>
  <si>
    <t>Coping with Answers</t>
  </si>
  <si>
    <t>Negative school performance in biology</t>
  </si>
  <si>
    <t>Limited school curriculum content</t>
  </si>
  <si>
    <t>Reliance on incomplete school knowledge</t>
  </si>
  <si>
    <t>Forgetting previously learned material</t>
  </si>
  <si>
    <t>Discomfort with subject</t>
  </si>
  <si>
    <t>Biology knowledge perceived as outdated</t>
  </si>
  <si>
    <t>Dislike for the subject</t>
  </si>
  <si>
    <t>Different subject preference</t>
  </si>
  <si>
    <t>Discomfort with test structure</t>
  </si>
  <si>
    <t>Lack of familiarity with content</t>
  </si>
  <si>
    <t>Embarrassment about knowledge gaps</t>
  </si>
  <si>
    <t>Reliance on guessing</t>
  </si>
  <si>
    <t>Negative emotions during questioning</t>
  </si>
  <si>
    <t>Relief about anonymity</t>
  </si>
  <si>
    <t>Unfamiliarity with terminology</t>
  </si>
  <si>
    <t>Doubts about eligibility/competence</t>
  </si>
  <si>
    <t>Study requires experts</t>
  </si>
  <si>
    <t>Recognition of familiar knowledge (with uncertainty)</t>
  </si>
  <si>
    <t>Avoidance strategy in answering</t>
  </si>
  <si>
    <t>Random answering strategy</t>
  </si>
  <si>
    <t>Hope for future learning</t>
  </si>
  <si>
    <t>Recognition without recall</t>
  </si>
  <si>
    <t>Reflection</t>
  </si>
  <si>
    <t>Reflection and Understanding</t>
  </si>
  <si>
    <t>Deeper learning</t>
  </si>
  <si>
    <t>Attention</t>
  </si>
  <si>
    <t>Engagement</t>
  </si>
  <si>
    <t>Time to process</t>
  </si>
  <si>
    <t>Own Pace</t>
  </si>
  <si>
    <t>Segmented learning</t>
  </si>
  <si>
    <t>Information management</t>
  </si>
  <si>
    <t>Control</t>
  </si>
  <si>
    <t>Autonomy and Control</t>
  </si>
  <si>
    <t>Interactivity</t>
  </si>
  <si>
    <t xml:space="preserve">Information overload </t>
  </si>
  <si>
    <t>Active engagement</t>
  </si>
  <si>
    <t>Understanding</t>
  </si>
  <si>
    <t>Time to review</t>
  </si>
  <si>
    <t>Complementarity</t>
  </si>
  <si>
    <t>Learner's experience</t>
  </si>
  <si>
    <t>Clarity / Usability</t>
  </si>
  <si>
    <t>Personalization</t>
  </si>
  <si>
    <t>Confidence</t>
  </si>
  <si>
    <t>Focused</t>
  </si>
  <si>
    <t>Confusion and Distraction</t>
  </si>
  <si>
    <t>Unintuitive</t>
  </si>
  <si>
    <t>Usability and Experience</t>
  </si>
  <si>
    <t>Confusing</t>
  </si>
  <si>
    <t>Simpler</t>
  </si>
  <si>
    <t>Distracting</t>
  </si>
  <si>
    <t>New knowledge</t>
  </si>
  <si>
    <t>Not helpful</t>
  </si>
  <si>
    <t>Learning and Understanding</t>
  </si>
  <si>
    <t>More information</t>
  </si>
  <si>
    <t>V</t>
  </si>
  <si>
    <t>Fun</t>
  </si>
  <si>
    <t>Entertainment</t>
  </si>
  <si>
    <t>STEM Subjects</t>
  </si>
  <si>
    <t>Education Setting</t>
  </si>
  <si>
    <t>Learner Demographics</t>
  </si>
  <si>
    <t>Learning Format</t>
  </si>
  <si>
    <t>Multiple / Other Subjects</t>
  </si>
  <si>
    <t>Complexity and Experimentation</t>
  </si>
  <si>
    <t>Biology / Life Sciences</t>
  </si>
  <si>
    <t>Multiple / mixed subject areas</t>
  </si>
  <si>
    <t>CS / Mathematics / Algorithms / Data Structures</t>
  </si>
  <si>
    <t>Interactive learning / engagement / interactivity</t>
  </si>
  <si>
    <t>E-learning / online learning / self-study</t>
  </si>
  <si>
    <t>Museum / exhibitions / public displays</t>
  </si>
  <si>
    <t>Vague / general statements</t>
  </si>
  <si>
    <t>Professional / work-related learning</t>
  </si>
  <si>
    <t>General education / school / university / courses</t>
  </si>
  <si>
    <t>Adult / general public learners</t>
  </si>
  <si>
    <t>Trial / experimentation with content</t>
  </si>
  <si>
    <t>Children / younger learners</t>
  </si>
  <si>
    <t>High-density or complex information</t>
  </si>
  <si>
    <t>Chemistry</t>
  </si>
  <si>
    <t>Physics / Mechanics / Electrotechnics</t>
  </si>
  <si>
    <t>Statistical / data-focused learning</t>
  </si>
  <si>
    <t>Small-scale topics</t>
  </si>
  <si>
    <t>Content and Topics</t>
  </si>
  <si>
    <t>Not needed for basics</t>
  </si>
  <si>
    <t>Overload with complexity</t>
  </si>
  <si>
    <t>Interaction</t>
  </si>
  <si>
    <t>YouTube</t>
  </si>
  <si>
    <t>Limited time</t>
  </si>
  <si>
    <t>Low information density</t>
  </si>
  <si>
    <t>Large audience</t>
  </si>
  <si>
    <t>Audience and Setting</t>
  </si>
  <si>
    <t>Casual interest</t>
  </si>
  <si>
    <t>Entertainment/curiosity</t>
  </si>
  <si>
    <t>Exam revision</t>
  </si>
  <si>
    <t>Revision, Overview, or Summary</t>
  </si>
  <si>
    <t>Frustation risk</t>
  </si>
  <si>
    <t>Manual pausing for study</t>
  </si>
  <si>
    <t>End of course summary</t>
  </si>
  <si>
    <t>Preprequisite review</t>
  </si>
  <si>
    <t xml:space="preserve">General </t>
  </si>
  <si>
    <t>Not  suitable for lectures</t>
  </si>
  <si>
    <t>Broad applicability</t>
  </si>
  <si>
    <t>Quick overview</t>
  </si>
  <si>
    <t>Classroom or self-study</t>
  </si>
  <si>
    <t>Audio-only use</t>
  </si>
  <si>
    <t>Summaries for overview</t>
  </si>
  <si>
    <t>Intentional learning</t>
  </si>
  <si>
    <t>Platform limitations</t>
  </si>
  <si>
    <t>Accessibility</t>
  </si>
  <si>
    <t xml:space="preserve">Superficial content only </t>
  </si>
  <si>
    <t>Simple terminology</t>
  </si>
  <si>
    <t>Shared setting limitation</t>
  </si>
  <si>
    <t>Teacher controlled pausing</t>
  </si>
  <si>
    <t>Historical content</t>
  </si>
  <si>
    <t>Lectures and courses</t>
  </si>
  <si>
    <t>Infotainments</t>
  </si>
  <si>
    <t xml:space="preserve">Dislike for videos </t>
  </si>
  <si>
    <t>Step-by-step instructions</t>
  </si>
  <si>
    <t>Requires prior knowledge</t>
  </si>
  <si>
    <t>Age suitability (&gt;10y)</t>
  </si>
  <si>
    <t>Short/simple content</t>
  </si>
  <si>
    <t>Simple tutorials</t>
  </si>
  <si>
    <t>Voluntary study</t>
  </si>
  <si>
    <t>Popular science</t>
  </si>
  <si>
    <t>Preparation for class</t>
  </si>
  <si>
    <t>New topics quick look</t>
  </si>
  <si>
    <t>Self-study with discussion</t>
  </si>
  <si>
    <t>No need for retention</t>
  </si>
  <si>
    <t>Refreshers</t>
  </si>
  <si>
    <t>Individual learning</t>
  </si>
  <si>
    <t>Clarity &amp; Usability</t>
  </si>
  <si>
    <t>Interface &amp; Navigation</t>
  </si>
  <si>
    <t>General Experience</t>
  </si>
  <si>
    <t>Content &amp; Instructional Quality</t>
  </si>
  <si>
    <t>Interactivity &amp; Engagement</t>
  </si>
  <si>
    <t>Pacing &amp; Cognitive Load</t>
  </si>
  <si>
    <t>Unclear clickability</t>
  </si>
  <si>
    <t>Lack of guidance</t>
  </si>
  <si>
    <t>Annoying navigation</t>
  </si>
  <si>
    <t>Poor audio quality</t>
  </si>
  <si>
    <t>Content inaccuracy</t>
  </si>
  <si>
    <t>Missing context explanation</t>
  </si>
  <si>
    <t>Missing smooth transitions</t>
  </si>
  <si>
    <t>Desire for more interaction</t>
  </si>
  <si>
    <t>Missing labeling</t>
  </si>
  <si>
    <t>Initial confusion</t>
  </si>
  <si>
    <t>Task ambiguity</t>
  </si>
  <si>
    <t>Layout mismatch</t>
  </si>
  <si>
    <t>Unintuitive interaction</t>
  </si>
  <si>
    <t>Clickability unclear</t>
  </si>
  <si>
    <t>Awkward pauses</t>
  </si>
  <si>
    <t>Misleading options</t>
  </si>
  <si>
    <t>Poor visual distinction</t>
  </si>
  <si>
    <t>Pace too fast</t>
  </si>
  <si>
    <t>Harsh transitions</t>
  </si>
  <si>
    <t>Incomplete labeling</t>
  </si>
  <si>
    <t>Missing scaffolding</t>
  </si>
  <si>
    <t>Unclear meaning</t>
  </si>
  <si>
    <t>Feedback missing</t>
  </si>
  <si>
    <t>Poor positioning</t>
  </si>
  <si>
    <t>Information overload</t>
  </si>
  <si>
    <t>Overload, time pressure</t>
  </si>
  <si>
    <t>Reduce density</t>
  </si>
  <si>
    <t>Poor navigation</t>
  </si>
  <si>
    <t>Lack of distinction</t>
  </si>
  <si>
    <t>Missing explanation</t>
  </si>
  <si>
    <t>Gamification concern</t>
  </si>
  <si>
    <t>Missing interactivity</t>
  </si>
  <si>
    <t>Accessibility lacking</t>
  </si>
  <si>
    <t>Quizzes for review</t>
  </si>
  <si>
    <t>Expandable content</t>
  </si>
  <si>
    <t>Summarization feature</t>
  </si>
  <si>
    <t>Info overload</t>
  </si>
  <si>
    <t>Desire for quizzes</t>
  </si>
  <si>
    <t>Advanced interactivity</t>
  </si>
  <si>
    <t>Accessibility issue</t>
  </si>
  <si>
    <t>Confusing UI</t>
  </si>
  <si>
    <t>Superficial content</t>
  </si>
  <si>
    <t>Lack of affordances</t>
  </si>
  <si>
    <t>Knowledge check</t>
  </si>
  <si>
    <t>Desire for interactivity</t>
  </si>
  <si>
    <t>Poor visual design</t>
  </si>
  <si>
    <t>Technical malfunction</t>
  </si>
  <si>
    <t>Small targets</t>
  </si>
  <si>
    <t>Interaction design improvement</t>
  </si>
  <si>
    <t>Desire for drag-and-drop</t>
  </si>
  <si>
    <t>Lack of diversity</t>
  </si>
  <si>
    <t>Weak linkage</t>
  </si>
  <si>
    <t>Poor timing</t>
  </si>
  <si>
    <t>Ambiguous display</t>
  </si>
  <si>
    <t>Spatial confusion</t>
  </si>
  <si>
    <t>Complex content</t>
  </si>
  <si>
    <t>Cognitive overload (terminology)</t>
  </si>
  <si>
    <t>Color blindness</t>
  </si>
  <si>
    <t>Readability issue</t>
  </si>
  <si>
    <t>Need for guidance</t>
  </si>
  <si>
    <t>Confusing interaction</t>
  </si>
  <si>
    <t>Ineffective visuals</t>
  </si>
  <si>
    <t>Supportive visuals</t>
  </si>
  <si>
    <t>Unintuitive controls</t>
  </si>
  <si>
    <t>Insufficient detail</t>
  </si>
  <si>
    <t>Lost overview</t>
  </si>
  <si>
    <t>Motivation feature</t>
  </si>
  <si>
    <t>Navigation confusion</t>
  </si>
  <si>
    <t>Fatigue</t>
  </si>
  <si>
    <t>Missing control</t>
  </si>
  <si>
    <t>Unclear graphics</t>
  </si>
  <si>
    <t>Missing legend</t>
  </si>
  <si>
    <t>Unhelpful analogy</t>
  </si>
  <si>
    <t>Boring</t>
  </si>
  <si>
    <t>Not straightforward</t>
  </si>
  <si>
    <t>Distracting voice</t>
  </si>
  <si>
    <t>Engagement &amp; Motivation</t>
  </si>
  <si>
    <t>Monotony</t>
  </si>
  <si>
    <t>Breaks, repeatable sections</t>
  </si>
  <si>
    <t>Cognitive Load</t>
  </si>
  <si>
    <t>Too fast pace</t>
  </si>
  <si>
    <t>Pace</t>
  </si>
  <si>
    <t>Too much information density</t>
  </si>
  <si>
    <t>Breaks</t>
  </si>
  <si>
    <t>Misleading phrasing</t>
  </si>
  <si>
    <t>Segmentation into subvideos</t>
  </si>
  <si>
    <t>Structure &amp; Comprehension</t>
  </si>
  <si>
    <t>More engaging design</t>
  </si>
  <si>
    <t>Intermediate explanations</t>
  </si>
  <si>
    <t>High attention pressure</t>
  </si>
  <si>
    <t>Intermediate summaries</t>
  </si>
  <si>
    <t>Pace, breaks</t>
  </si>
  <si>
    <t>Highlight key information</t>
  </si>
  <si>
    <t>Accessibility issues</t>
  </si>
  <si>
    <t>Accessibility &amp; Inclusivity</t>
  </si>
  <si>
    <t>Too short display time</t>
  </si>
  <si>
    <t>Need to pause</t>
  </si>
  <si>
    <t>Unclear animations</t>
  </si>
  <si>
    <t>Tempo control</t>
  </si>
  <si>
    <t>Unstructured layout</t>
  </si>
  <si>
    <t>Insufficient display time</t>
  </si>
  <si>
    <t>Too fast</t>
  </si>
  <si>
    <t>Performance pressure</t>
  </si>
  <si>
    <t>Need for playback control</t>
  </si>
  <si>
    <t>Overload of jargon</t>
  </si>
  <si>
    <t>Split attention</t>
  </si>
  <si>
    <t>Playback tools</t>
  </si>
  <si>
    <t>Format preference</t>
  </si>
  <si>
    <t>Use of examples</t>
  </si>
  <si>
    <t>List-like style</t>
  </si>
  <si>
    <t>Memory difficult</t>
  </si>
  <si>
    <t>Misplaced repetitions</t>
  </si>
  <si>
    <t>Final summary needed</t>
  </si>
  <si>
    <t>Distracting colors</t>
  </si>
  <si>
    <t>Visual aids (arrows)</t>
  </si>
  <si>
    <t>Focus guidance</t>
  </si>
  <si>
    <t>Navigation tools</t>
  </si>
  <si>
    <t>Subtitles</t>
  </si>
  <si>
    <t>Overloaded slides</t>
  </si>
  <si>
    <t>Chunking complex info</t>
  </si>
  <si>
    <t>High info density</t>
  </si>
  <si>
    <t>Prior knowledge required</t>
  </si>
  <si>
    <t>Slower</t>
  </si>
  <si>
    <t>Playback control</t>
  </si>
  <si>
    <t>Final summary</t>
  </si>
  <si>
    <t>Speech intonation</t>
  </si>
  <si>
    <t>Attention loss</t>
  </si>
  <si>
    <t>More natural voices</t>
  </si>
  <si>
    <t>Abrupt audio surprises</t>
  </si>
  <si>
    <t>Fast + complex explanations</t>
  </si>
  <si>
    <t>Visual overload</t>
  </si>
  <si>
    <t>Break down information</t>
  </si>
  <si>
    <t>Reduce info density</t>
  </si>
  <si>
    <t>Length difficulty</t>
  </si>
  <si>
    <t>Structure needed</t>
  </si>
  <si>
    <t>Structure, repetition needed</t>
  </si>
  <si>
    <t>Fatigue, attention loss</t>
  </si>
  <si>
    <t>Text &amp; Language Support</t>
  </si>
  <si>
    <t>Learning &amp; Knowledge</t>
  </si>
  <si>
    <t>Programming &amp; Technical Tasks</t>
  </si>
  <si>
    <t>Research &amp; Information Retrieval</t>
  </si>
  <si>
    <t>Creativity &amp; Media</t>
  </si>
  <si>
    <t>Everyday Use &amp; Productivity</t>
  </si>
  <si>
    <t>Critical Remarks / No Use</t>
  </si>
  <si>
    <t>Voice/Audio</t>
  </si>
  <si>
    <t>Text/Content</t>
  </si>
  <si>
    <t>Visuals/Elements</t>
  </si>
  <si>
    <t>Uncertainty/None</t>
  </si>
  <si>
    <t>Cautious / Critical Reflection Needed</t>
  </si>
  <si>
    <t>Ethical / Societal Concerns</t>
  </si>
  <si>
    <t>Usability / Interaction</t>
  </si>
  <si>
    <t>Cognitive Load / Effort</t>
  </si>
  <si>
    <t>Technical Issues / Limitations</t>
  </si>
  <si>
    <t>Content Relevance / Motivation</t>
  </si>
  <si>
    <t>Confusion / Misunderstanding</t>
  </si>
  <si>
    <t>Cognitive Load / Pace</t>
  </si>
  <si>
    <t>Social Sciences and Humanities</t>
  </si>
  <si>
    <t>STEM without IT/informatics</t>
  </si>
  <si>
    <t>Applied informatics</t>
  </si>
  <si>
    <t>Molecular and Biophysical Sciences</t>
  </si>
  <si>
    <t>Ecology and Environment</t>
  </si>
  <si>
    <t>Human Biology and Medicine</t>
  </si>
  <si>
    <t>-</t>
  </si>
  <si>
    <t>Interactivity and Engagement</t>
  </si>
  <si>
    <t>Coder A</t>
  </si>
  <si>
    <t>Coder B</t>
  </si>
  <si>
    <t>A - Code</t>
  </si>
  <si>
    <t>A - Theme</t>
  </si>
  <si>
    <t>B - Code</t>
  </si>
  <si>
    <t>B - Theme</t>
  </si>
  <si>
    <t>AGREED VERSION</t>
  </si>
  <si>
    <t>Self-employed (architect)</t>
  </si>
  <si>
    <t>Guessing or Avoiding to Answer</t>
  </si>
  <si>
    <t>Concentration</t>
  </si>
  <si>
    <t>User Interaction</t>
  </si>
  <si>
    <t>Comprehension</t>
  </si>
  <si>
    <t>Mobile learning</t>
  </si>
  <si>
    <t>For which tasks do you use LLMs (or generative AI in general, for example through ChatGPT and other tools)</t>
  </si>
  <si>
    <t>O</t>
  </si>
  <si>
    <t>W</t>
  </si>
  <si>
    <t>Q</t>
  </si>
  <si>
    <t>(W) written, or (O) oral comment</t>
  </si>
  <si>
    <t>Scenarios</t>
  </si>
  <si>
    <t>positive</t>
  </si>
  <si>
    <t>negative</t>
  </si>
  <si>
    <t>For (V) video only or (K) video with KnowTI examples</t>
  </si>
  <si>
    <t>K</t>
  </si>
  <si>
    <t>positivee feedback</t>
  </si>
  <si>
    <t>positivee exploration</t>
  </si>
  <si>
    <t>positivee / Useful Tool</t>
  </si>
  <si>
    <t>negativee / Skeptical / Overrated</t>
  </si>
  <si>
    <t>For (V) video only, or (K) KnowTI, or (Q) questionnaires</t>
  </si>
  <si>
    <t>positivee / Enjoyment</t>
  </si>
  <si>
    <t>Knowledge Gap</t>
  </si>
  <si>
    <t>Disinterest and Unease</t>
  </si>
  <si>
    <t>Self-Doubt and Insecurity</t>
  </si>
  <si>
    <t>Self-doubt</t>
  </si>
  <si>
    <t>Forgetfulness</t>
  </si>
  <si>
    <t>Discomfort</t>
  </si>
  <si>
    <t>Aversion</t>
  </si>
  <si>
    <t>Uncertainty</t>
  </si>
  <si>
    <t>Hope</t>
  </si>
  <si>
    <t>Note: Biology was my worst subject in school.</t>
  </si>
  <si>
    <t>I didn’t have anything about humans in school, only flora and fauna.</t>
  </si>
  <si>
    <t>How am I supposed to know that. Just what was taught in school.</t>
  </si>
  <si>
    <t>I can’t remember anything anymore.</t>
  </si>
  <si>
    <t>Ugh, …</t>
  </si>
  <si>
    <t>… that was ages ago.</t>
  </si>
  <si>
    <t>I hate biology.</t>
  </si>
  <si>
    <t>No, not biology, can’t it be geography?</t>
  </si>
  <si>
    <t>Knowledge questions at the beginning feel very unnatural.</t>
  </si>
  <si>
    <t>None of this means anything to me.</t>
  </si>
  <si>
    <t>This is embarrassing, …</t>
  </si>
  <si>
    <t>… that I don’t know anything.</t>
  </si>
  <si>
    <t>I can only guess on the questions.</t>
  </si>
  <si>
    <t>I feel so bad about these questions.</t>
  </si>
  <si>
    <t>Luckily this is all anonymous.</t>
  </si>
  <si>
    <t>I don’t even know what these terms are.</t>
  </si>
  <si>
    <t>Am I even suitable for the study if none of this means anything to me.</t>
  </si>
  <si>
    <t>This needs people who study this and are professionals, not just anyone.</t>
  </si>
  <si>
    <t>I’ve heard that before. Finally I know something, or is it a trick question? (Note: cabbage has more genes than humans)</t>
  </si>
  <si>
    <t>Can I skip questions? Otherwise I’ll just check “No” and “Very unsure” everywhere.</t>
  </si>
  <si>
    <t>I’ll just choose “Yes” and “No” alternately. Then it’s the same pattern.</t>
  </si>
  <si>
    <t>Some of it does seem familiar, but I can’t remember anything anymore.</t>
  </si>
  <si>
    <t>Possibility for reflection.</t>
  </si>
  <si>
    <t>Possibility for deeper exploration.</t>
  </si>
  <si>
    <t>More time to engage with the topics</t>
  </si>
  <si>
    <t>I could watch the highlights again …</t>
  </si>
  <si>
    <t>... and thus reinforce the knowledge. …</t>
  </si>
  <si>
    <t>... In the video I would have to do this separately.</t>
  </si>
  <si>
    <t>slower</t>
  </si>
  <si>
    <t>repeated content</t>
  </si>
  <si>
    <t>more interactive</t>
  </si>
  <si>
    <t>not so much information at once</t>
  </si>
  <si>
    <t>More interactive content</t>
  </si>
  <si>
    <t>draws viewers more into the topic</t>
  </si>
  <si>
    <t>explains concepts directly</t>
  </si>
  <si>
    <t>This gave more time to look at the topic again</t>
  </si>
  <si>
    <t>additional visualizations that differed from those in the video.</t>
  </si>
  <si>
    <t>The uninterrupted video has too much information …</t>
  </si>
  <si>
    <t>... listed in too short a time</t>
  </si>
  <si>
    <t>With the uninterrupted video it wasn’t possible for me to remember all the information …</t>
  </si>
  <si>
    <t>... at the given pace.</t>
  </si>
  <si>
    <t>Possibility to engage with topics in more detail</t>
  </si>
  <si>
    <t>Feeling of participation in the learning process</t>
  </si>
  <si>
    <t>I could repeat the described content</t>
  </si>
  <si>
    <t>I could follow the described content at my own pace</t>
  </si>
  <si>
    <t>I didn’t feel the need to rewind.</t>
  </si>
  <si>
    <t>Promotes a better understanding of the content</t>
  </si>
  <si>
    <t>Interaction with information segments as well as comparisons</t>
  </si>
  <si>
    <t>Encouraged active thinking (along) and questioning</t>
  </si>
  <si>
    <t>interactive</t>
  </si>
  <si>
    <t>Slower (especially important for technical terms)</t>
  </si>
  <si>
    <t>Time to pause and briefly review the content</t>
  </si>
  <si>
    <t>I could keep a better overview because it felt like small mini-summaries</t>
  </si>
  <si>
    <t>More time to engage with information</t>
  </si>
  <si>
    <t>Information was better divided</t>
  </si>
  <si>
    <t>after a self-contained section you had more time to go through the information again</t>
  </si>
  <si>
    <t>It encouraged paying attention</t>
  </si>
  <si>
    <t>After the first overlay you eagerly waited for the next one.</t>
  </si>
  <si>
    <t>It was always a nice summary of the information watched.</t>
  </si>
  <si>
    <t>Thinking pauses that enable reflection.</t>
  </si>
  <si>
    <t>Enrichment of the video with interactive animations related to the content.</t>
  </si>
  <si>
    <t>The short video sections allow “learning in bites”</t>
  </si>
  <si>
    <t>With the continuous video I would have paused or rewound in places out of habit. I wouldn’t have done that with the enriched video.</t>
  </si>
  <si>
    <t>The animations clarified everything once again</t>
  </si>
  <si>
    <t>The overlays helped to deepen knowledge (in preparation)</t>
  </si>
  <si>
    <t>Interactivity …</t>
  </si>
  <si>
    <t>… makes it possible to pause briefly …</t>
  </si>
  <si>
    <t>… and go through what was shown slowly again</t>
  </si>
  <si>
    <t>more time to think …</t>
  </si>
  <si>
    <t>… because of the pauses</t>
  </si>
  <si>
    <t>Time for reflection is important</t>
  </si>
  <si>
    <t>it was good to have a short break …</t>
  </si>
  <si>
    <t>… to reflect</t>
  </si>
  <si>
    <t>Visualizations were helpful for understanding</t>
  </si>
  <si>
    <t>Clear …</t>
  </si>
  <si>
    <t>… and practical</t>
  </si>
  <si>
    <t>The visualizations seem more intuitive …</t>
  </si>
  <si>
    <t>… when they are interactive</t>
  </si>
  <si>
    <t>The overlays promote attention</t>
  </si>
  <si>
    <t>When I watched only the video (note: without overlays), I was somewhat stressed processing the many pieces of information.</t>
  </si>
  <si>
    <t>The interruptions …</t>
  </si>
  <si>
    <t>… gave me time to process the information.</t>
  </si>
  <si>
    <t>The overlays helped me actively think about the information.</t>
  </si>
  <si>
    <t>The overlays allowed me to look at statements again interactively …</t>
  </si>
  <si>
    <t>… and truly understand them.</t>
  </si>
  <si>
    <t>The interaction felt more individual and tailored to me.</t>
  </si>
  <si>
    <t>You don’t get everything shown at once</t>
  </si>
  <si>
    <t>You have breaks …</t>
  </si>
  <si>
    <t>... with a short reflection …</t>
  </si>
  <si>
    <t>… and a summary</t>
  </si>
  <si>
    <t>A short stop and reviewing the complex information shown …</t>
  </si>
  <si>
    <t>Possibility to go through it again …</t>
  </si>
  <si>
    <t>… and truly internalize the information</t>
  </si>
  <si>
    <t>Encouraged me to focus more than watching just the video.</t>
  </si>
  <si>
    <t>… gave me a sense of security and  confidence</t>
  </si>
  <si>
    <t>I hope I’ll learn all of this.</t>
  </si>
  <si>
    <t>Visualization</t>
  </si>
  <si>
    <t>Structure</t>
  </si>
  <si>
    <t>Learning Pace and Reflection</t>
  </si>
  <si>
    <t>Support for Understanding</t>
  </si>
  <si>
    <t>Motivation and Concentration</t>
  </si>
  <si>
    <t>Interactivity and Active Participation</t>
  </si>
  <si>
    <t>Cognitive Relief</t>
  </si>
  <si>
    <t>Structuring of Content</t>
  </si>
  <si>
    <t>Learning Pace</t>
  </si>
  <si>
    <t>Active Participation</t>
  </si>
  <si>
    <t>Memory Ability</t>
  </si>
  <si>
    <t>Information Management and Learner's Experience</t>
  </si>
  <si>
    <t>I had the feeling that the information was more concentrated …</t>
  </si>
  <si>
    <t>… and smoother.</t>
  </si>
  <si>
    <t>Both the interface and the animations in the interactive version were very unintuitive …</t>
  </si>
  <si>
    <t>… and therefore caused more confusion than they helped.</t>
  </si>
  <si>
    <t>Better concentration without interruptions</t>
  </si>
  <si>
    <t>Easier to follow</t>
  </si>
  <si>
    <t>The overlays were sometimes distracting …</t>
  </si>
  <si>
    <t>I would prefer to be able to decide myself when I want to interact with the overlays.</t>
  </si>
  <si>
    <t>Actually, I find an interactive video better for learning …</t>
  </si>
  <si>
    <t>… but in my opinion, the interactive elements in the video were sometimes confusing.</t>
  </si>
  <si>
    <t>Interspersed questions distract …</t>
  </si>
  <si>
    <t>… a bit from the flow of listening</t>
  </si>
  <si>
    <t>Interspersed questions don’t provide much new insight</t>
  </si>
  <si>
    <t>With just the video, there were no interruptions, and one could focus on what was heard and the slides.</t>
  </si>
  <si>
    <t>I found the pop-ups rather annoying, as they interrupted the video</t>
  </si>
  <si>
    <t>The overlays didn’t help me with understanding</t>
  </si>
  <si>
    <t>I rather had the impression that they confused me</t>
  </si>
  <si>
    <t>With the overlays, it was sometimes unclear to me how the representations work or how to use them.</t>
  </si>
  <si>
    <t>That rather distracts.</t>
  </si>
  <si>
    <t>Information Flow</t>
  </si>
  <si>
    <t>… and disturbed the Information Flow.</t>
  </si>
  <si>
    <t>Information Flow and knowledge</t>
  </si>
  <si>
    <t>Reasons for preferring version K (KnowTI)</t>
  </si>
  <si>
    <t>Reasons for preferring version V (video only)</t>
  </si>
  <si>
    <t>Possible areas of application for version K (KnowTI)</t>
  </si>
  <si>
    <t>Possible areas of application for version V (video only)</t>
  </si>
  <si>
    <t>Possible enhancements for version K (KnowTI)</t>
  </si>
  <si>
    <t>Possible enhancements for version V (video only)</t>
  </si>
  <si>
    <t>First image in mind on Eukaryotes for version K (KnowTI)</t>
  </si>
  <si>
    <t>First image in mind on Eukaryotes for version V (video only)</t>
  </si>
  <si>
    <t>Topics remembered on Eukaryotes for version K (KnowTI)</t>
  </si>
  <si>
    <t>Topics remembered on Eukaryotes for version V (video only)</t>
  </si>
  <si>
    <t>I liked the interactivity...</t>
  </si>
  <si>
    <t>...and it was fun to watch and click around.</t>
  </si>
  <si>
    <t>But sometimes I didn't quite understand the meaning behind the visualization, e.g., in DNA sequencing, it would have been helpful to integrate the other related elements from the video more strongly.</t>
  </si>
  <si>
    <t>The interactivity was something special ......</t>
  </si>
  <si>
    <t xml:space="preserve"> and perhaps it helps with understanding.</t>
  </si>
  <si>
    <t>Video alone has more entertainment value.</t>
  </si>
  <si>
    <t>Pop-ups are not always interesting ......</t>
  </si>
  <si>
    <t>The continuous video (note: Eukaryotes) presented me more information. Therefore, it's not a completely fair comparison.</t>
  </si>
  <si>
    <t xml:space="preserve"> BUT pauses allow you to process the information at the own pace.</t>
  </si>
  <si>
    <t>Information Density</t>
  </si>
  <si>
    <t>Interactivity and Comprehension</t>
  </si>
  <si>
    <t>It worked well for biology.</t>
  </si>
  <si>
    <t>Chemistry or physics would also be exciting (mechanics examples with interactions).</t>
  </si>
  <si>
    <t>Computer science -&gt; algorithms and data structures (videos often very long)</t>
  </si>
  <si>
    <t>Short interactions help to understand the material better</t>
  </si>
  <si>
    <t>Online course</t>
  </si>
  <si>
    <t>Generally any lecture or educational area where “vocabulary” is learned.</t>
  </si>
  <si>
    <t>Various mechanisms and processes can be explained better this way.</t>
  </si>
  <si>
    <t>Examples: law, physics, chemistry.</t>
  </si>
  <si>
    <t>The interaction in the pop-ups can be made interesting.</t>
  </si>
  <si>
    <t>Museum or similar.</t>
  </si>
  <si>
    <t>E-learning.</t>
  </si>
  <si>
    <t>Anywhere where learning is involved.</t>
  </si>
  <si>
    <t>Individual learning in general.</t>
  </si>
  <si>
    <t>For deepening understanding of content.</t>
  </si>
  <si>
    <t>In all areas.</t>
  </si>
  <si>
    <t>Safety training.</t>
  </si>
  <si>
    <t>Academic application.</t>
  </si>
  <si>
    <t>When preparing for basic subjects and their exams. I tend to acquire new information in writing.</t>
  </si>
  <si>
    <t>Information in museums.</t>
  </si>
  <si>
    <t>Teaching and learning opportunities such as school, university, etc.</t>
  </si>
  <si>
    <t>Learning and factual videos for interested parties in their free time on platforms such as YouTube.</t>
  </si>
  <si>
    <t>Across the board in natural and social sciences.</t>
  </si>
  <si>
    <t>Almost everywhere.</t>
  </si>
  <si>
    <t>For me, the video with pop-ups needs more time to experiment.</t>
  </si>
  <si>
    <t>In my opinion, there are many areas of application, regardless of the topic and target group. Therefore, I cannot give any specific examples.</t>
  </si>
  <si>
    <t>In situations where it gives you a more intuitive understanding of the topics.</t>
  </si>
  <si>
    <t>Education, if you already have some knowledge of the topic.</t>
  </si>
  <si>
    <t>All.</t>
  </si>
  <si>
    <t>Courses.</t>
  </si>
  <si>
    <t>Pretty much anything that has to do with information transfer.</t>
  </si>
  <si>
    <t>I think this version could be well received by children</t>
  </si>
  <si>
    <t>for teaching</t>
  </si>
  <si>
    <t>for independent learning at home</t>
  </si>
  <si>
    <t>at exhibitions where visitors can interact with the content presented</t>
  </si>
  <si>
    <t>anywhere</t>
  </si>
  <si>
    <t>when you want to learn things.</t>
  </si>
  <si>
    <t>at schools, universities</t>
  </si>
  <si>
    <t>publicly accessible online courses or platforms</t>
  </si>
  <si>
    <t>Basically all areas of application with a very high density of information</t>
  </si>
  <si>
    <t>The videos in particular contained a lot of information in a short amount of time, and I think other areas of application with similar requirements could also benefit from this.</t>
  </si>
  <si>
    <t>For learning in general</t>
  </si>
  <si>
    <t>especially for children...</t>
  </si>
  <si>
    <t>...but also for adults</t>
  </si>
  <si>
    <t>in principle in all areas of application</t>
  </si>
  <si>
    <t>possibly especially for children</t>
  </si>
  <si>
    <t>When you have to teach yourself the content.</t>
  </si>
  <si>
    <t>In classroom teaching, the lecturer can interrupt and explain things.</t>
  </si>
  <si>
    <t>When learning alone, it can happen that you pay less attention, so this encourages you to stay focused.</t>
  </si>
  <si>
    <t>Engineering and natural sciences</t>
  </si>
  <si>
    <t>especially mathematics</t>
  </si>
  <si>
    <t>Visualizations can often be very helpful in view of the often complex mathematical formulations.</t>
  </si>
  <si>
    <t>Chemistry would probably also be a good application, e.g., for depicting reactions.</t>
  </si>
  <si>
    <t>In courses where individual learning is possible</t>
  </si>
  <si>
    <t>Possibly for highly interactive topics</t>
  </si>
  <si>
    <t>such as in art history applications</t>
  </si>
  <si>
    <t>generally in the university sector</t>
  </si>
  <si>
    <t>In teaching, especially with children perhaps</t>
  </si>
  <si>
    <t>Generally for teaching content to people who have not had any previous exposure to the subject</t>
  </si>
  <si>
    <t>Electrical engineering</t>
  </si>
  <si>
    <t>Physics</t>
  </si>
  <si>
    <t>In any learning setting from high school level 4 onwards (approx. age 13 and above)</t>
  </si>
  <si>
    <t>Educational videos with lots of statistics</t>
  </si>
  <si>
    <t>Statistics could be interactive and data could be explored by students themselves</t>
  </si>
  <si>
    <t>Biology</t>
  </si>
  <si>
    <t>Face-to-face teaching with attendance lists where the lecturer doesn't want to talk</t>
  </si>
  <si>
    <t>Self-study</t>
  </si>
  <si>
    <t>It would be cool if there was a YouTube plugin for this</t>
  </si>
  <si>
    <t>Educational videos</t>
  </si>
  <si>
    <t>In general when learning</t>
  </si>
  <si>
    <t>I have often used this privately and enjoy learning with this method frequently in my studies, work, etc.</t>
  </si>
  <si>
    <t>Display boards in museums ......</t>
  </si>
  <si>
    <t xml:space="preserve"> with interactive content</t>
  </si>
  <si>
    <t>For straightforward topics</t>
  </si>
  <si>
    <t>For example, this may not be necessary for the basics of sociological methods.</t>
  </si>
  <si>
    <t>I think it would be tiring to incorporate too many interactions into a complex topic.</t>
  </si>
  <si>
    <t>Information density not too high</t>
  </si>
  <si>
    <t>When you don't necessarily have to/want to learn something, but are just a little interested in it</t>
  </si>
  <si>
    <t>E.g., watching a YouTube video about something out of interest</t>
  </si>
  <si>
    <t>As a quick review of content before exams, for example</t>
  </si>
  <si>
    <t>It can be used in the same way as the video with pop-ups, ......</t>
  </si>
  <si>
    <t xml:space="preserve"> but I think it leads to frustration more quickly.</t>
  </si>
  <si>
    <t>If I can press pause, I have often used it for exam preparation, but only because I had no alternative.</t>
  </si>
  <si>
    <t>As a summary of knowledge already learned, e.g. at the end of a course (school, university, ...)</t>
  </si>
  <si>
    <t>At most for reviewing knowledge that is considered prerequisite (advanced courses/classes)</t>
  </si>
  <si>
    <t>Everywhere</t>
  </si>
  <si>
    <t>In principle, very universal, as with the video with inserts, but perhaps more in a setting that does not support this type of interaction, e.g., a traditional lecture.</t>
  </si>
  <si>
    <t>Almost anywhere where something is being explained.</t>
  </si>
  <si>
    <t>All</t>
  </si>
  <si>
    <t>To provide a brief overview of a topic.</t>
  </si>
  <si>
    <t>Also in class or for self-study.</t>
  </si>
  <si>
    <t>Without the pop-ups, you could also use it with just the audio track, ......</t>
  </si>
  <si>
    <t xml:space="preserve"> to listen to it on the go, for example.</t>
  </si>
  <si>
    <t>Short summaries of topics just for an overview.</t>
  </si>
  <si>
    <t>When you want to learn something.</t>
  </si>
  <si>
    <t>Existing video platforms such as YouTube, which do not allow such interactions; otherwise, I would always prefer the version with interaction.</t>
  </si>
  <si>
    <t>Perhaps also for people with disabilities (although in that case, perhaps some interaction is better than none at all?).</t>
  </si>
  <si>
    <t>Only if the information is rather superficial, e.g., as was the case at the end of the Human Genome Project, where it was only a brief overview, but no really difficult details.</t>
  </si>
  <si>
    <t>For videos with few specialized terms. This makes the information much denser.</t>
  </si>
  <si>
    <t>E.g., in a lecture hall or when several people are watching at the same time (but only one of them could use interactive elements).</t>
  </si>
  <si>
    <t>Actually in all areas of application.</t>
  </si>
  <si>
    <t>In frontal teaching, where the presenter can pause to summarize again.</t>
  </si>
  <si>
    <t>Presentations with a narrative character, i.e., entertainment applications.</t>
  </si>
  <si>
    <t>Presentations of historical events (if a scientific context is required).</t>
  </si>
  <si>
    <t>In courses/lectures.</t>
  </si>
  <si>
    <t>In leisure time as “infotainment.”</t>
  </si>
  <si>
    <t>In principle, in all topics, but I personally don't like videos very much.</t>
  </si>
  <si>
    <t>Precise instructions with calls to action</t>
  </si>
  <si>
    <t>If you already have a basic understanding</t>
  </si>
  <si>
    <t>Generally from high school level 1 (from age 10)</t>
  </si>
  <si>
    <t>Very short and simple content</t>
  </si>
  <si>
    <t>Short tutorials, if the content does not require much interaction for understanding, e.g., historical content, etc.</t>
  </si>
  <si>
    <t>All areas of application</t>
  </si>
  <si>
    <t>Completely voluntary educational videos</t>
  </si>
  <si>
    <t>For popular science</t>
  </si>
  <si>
    <t>Preparation material for classroom teaching</t>
  </si>
  <si>
    <t>To quickly gain an insight into a completely unfamiliar topic</t>
  </si>
  <si>
    <t>Self-study followed by group discussion so that the content can be consolidated and repeated</t>
  </si>
  <si>
    <t>Entertainment videos</t>
  </si>
  <si>
    <t>Anything where you don't necessarily have to remember 100% of the content</t>
  </si>
  <si>
    <t>Brief information or refreshing old knowledge, but only learning in small amounts...</t>
  </si>
  <si>
    <t>When I want to look at something myself at my leisure</t>
  </si>
  <si>
    <t>I wasn’t always aware of what was clickable or what I was supposed to do.</t>
  </si>
  <si>
    <t>Maybe a short description of how to interact with the interaction panel.</t>
  </si>
  <si>
    <t>Scrolling was a bit annoying.</t>
  </si>
  <si>
    <t>Audio could be better.</t>
  </si>
  <si>
    <t>There was a section showing the four base pairs and their occurrences, but all appeared on average 50% (=200% total).</t>
  </si>
  <si>
    <t>They were not very guided or explained regarding how they relate to the video content, or what one can learn/take away from the overlays.</t>
  </si>
  <si>
    <t>Could be a bit smoother.</t>
  </si>
  <si>
    <t>More interactive elements.</t>
  </si>
  <si>
    <t>I would add a short description to the overlay so that users have a better idea of what exactly is happening.</t>
  </si>
  <si>
    <t>At first, I was briefly confused by the overlay, but after the first time, I got used to it.</t>
  </si>
  <si>
    <t>Sometimes it was unclear what to do, what was expected of me. Is it a kind of short quiz? Is it an overview, and what can I click to make something change?</t>
  </si>
  <si>
    <t>It would be cool if the overlays were the same size as the video; then it would feel smoother with the rest of the video.</t>
  </si>
  <si>
    <t>Interaction with the overlays was not always intuitive.</t>
  </si>
  <si>
    <t>It wasn’t clear to me multiple times what I could click and what effect it would have.</t>
  </si>
  <si>
    <t>Sometimes the video is interrupted at what feels like an inconvenient time.</t>
  </si>
  <si>
    <t>Some overlays suggest a big difference between two options, but the effect is rather minimal.</t>
  </si>
  <si>
    <t>Better mark clickable elements and clarify the relation between the elements in the left column and the graphic on the right.</t>
  </si>
  <si>
    <t>I found the default speed rather fast. Luckily I could slow it down, but it cost me some time and attention.</t>
  </si>
  <si>
    <t>Sometimes I would have preferred a smoother transition between explanation and overlay so I could better assess the context.</t>
  </si>
  <si>
    <t>Labels and headings are sometimes very brief.</t>
  </si>
  <si>
    <t>Occasionally, more theoretical content before the overlay would have helped to understand it better.</t>
  </si>
  <si>
    <t>Overall, I found the video with overlays very well done.</t>
  </si>
  <si>
    <t>It was sometimes unclear what certain overlays mean.</t>
  </si>
  <si>
    <t>It was sometimes unclear what a click, e.g., on a specific card or area, would trigger.</t>
  </si>
  <si>
    <t>Better position overlays within the video.</t>
  </si>
  <si>
    <t>Do not visually overload the overlays.</t>
  </si>
  <si>
    <t>Overlays were sometimes too fast to absorb all the information within the given time (yay for pause button).</t>
  </si>
  <si>
    <t>Perhaps less information per section of an overlay, or weight it graphically according to the type of information.</t>
  </si>
  <si>
    <t>At the beginning, the overlays were a little unintuitive regarding how to navigate between the video and overlays.</t>
  </si>
  <si>
    <t>With the overlays, it was not always clear which elements could be interacted with and which could not, as, for example, clickable elements looked the same as pure information boxes.</t>
  </si>
  <si>
    <t>In some places, I expected more interaction, e.g., allowing direct clicks on parts of animations and displaying more information.</t>
  </si>
  <si>
    <t>Possibly alternative interactions for people with impairments.</t>
  </si>
  <si>
    <t>Possibly also include questions for review during interaction.</t>
  </si>
  <si>
    <t>Maybe allow individual elements to be expanded further.</t>
  </si>
  <si>
    <t>The overlays, with visualizations, provide a good overview of what was said in the video.</t>
  </si>
  <si>
    <t>The overlays themselves also contained a lot of information at once.</t>
  </si>
  <si>
    <t>Add more interaction, e.g., quizzes that test knowledge.</t>
  </si>
  <si>
    <t>In the visualization of cell division, one could, for example, use drag-and-drop to move parts within the cell to get a better sense of how the processes behave.</t>
  </si>
  <si>
    <t>Perhaps color blindness or other accessibility aspects could be improved (I have no impairments myself, so I can’t judge in detail).</t>
  </si>
  <si>
    <t>I found the user interface and buttons confusing/unintuitive.</t>
  </si>
  <si>
    <t>I think the overlays should be more in-depth, providing interesting representations and clarifications.</t>
  </si>
  <si>
    <t>The transition in both directions was very sudden; it would need a bit more time.</t>
  </si>
  <si>
    <t>It should be immediately clear how the interaction works and what information I can expect when I press Button X.</t>
  </si>
  <si>
    <t>Quiz questions as overlays to test knowledge at the end of the video.</t>
  </si>
  <si>
    <t>Even more interactions with clear divisions.</t>
  </si>
  <si>
    <t>Larger arrows in the first graphic.</t>
  </si>
  <si>
    <t>Only functional overlays (last overlay).</t>
  </si>
  <si>
    <t>Larger interactive parts of existing graphics.</t>
  </si>
  <si>
    <t>Control directly in the visualization instead of buttons at the edge, where possible.</t>
  </si>
  <si>
    <t>Drag-and-drop features.</t>
  </si>
  <si>
    <t>Generally, more interaction modes.</t>
  </si>
  <si>
    <t>Sometimes unclear what can/should be clicked.</t>
  </si>
  <si>
    <t>When additional information was given, it was sometimes unclear how it related to the content just seen.</t>
  </si>
  <si>
    <t>Better adapt with pauses in the video.</t>
  </si>
  <si>
    <t>Sometimes it was not entirely clear what the overlay was supposed to show.</t>
  </si>
  <si>
    <t>In some places, the positioning in the video was unclear.</t>
  </si>
  <si>
    <t>In the display showing parent → child transfer, it was not entirely clear how to assign RNAs on the left side (parents). Perhaps more info could be displayed via interaction (hovering, clicking).</t>
  </si>
  <si>
    <t>For someone without prior knowledge, a lot of new vocabulary is added. This could be repeated more often.</t>
  </si>
  <si>
    <t>Attention for people with color blindness.</t>
  </si>
  <si>
    <t>Font size should be adequate (note: sometimes too small).</t>
  </si>
  <si>
    <t>Clear instructions help.</t>
  </si>
  <si>
    <t>Encourage exploration (which was good).</t>
  </si>
  <si>
    <t>The interaction was sometimes confusing regarding what is possible or what, e.g., clicking has as an effect.</t>
  </si>
  <si>
    <t>Some representations were not very helpful.</t>
  </si>
  <si>
    <t>Other representations (e.g., visualizing statistics) improved my understanding.</t>
  </si>
  <si>
    <t>The operation sometimes felt awkward and unintuitive.</t>
  </si>
  <si>
    <t>Display as much information as possible.</t>
  </si>
  <si>
    <t>Better visual (colored/responsive) distinction between interactive widgets and static widgets.</t>
  </si>
  <si>
    <t>Maintain an overview when viewing details.</t>
  </si>
  <si>
    <t>Reward mechanism.</t>
  </si>
  <si>
    <t>At first, it was unclear how to return from the overlay to the video.</t>
  </si>
  <si>
    <t>Long sessions are probably more difficult, as they require more attention.</t>
  </si>
  <si>
    <t>No rewinding in the context of the study.</t>
  </si>
  <si>
    <t>Possibly highlight or adjust parts (color, …).</t>
  </si>
  <si>
    <t>The graphical representations were sometimes unclear to me.</t>
  </si>
  <si>
    <t>Some points and circles without explanation (note: ribosomes look like mushrooms—how does that help?).</t>
  </si>
  <si>
    <t>It’s a bit dull.</t>
  </si>
  <si>
    <t>But above all, it is not self-explanatory.</t>
  </si>
  <si>
    <t>For opposing representations, e.g., (non-)compartmentalization: explain whether both occur in reality or are just abstract contrasts.</t>
  </si>
  <si>
    <t>The mechanism described in the video is not presented in a way that makes it feel like you are interacting with this mechanism; sometimes it felt more like a "gimmick" related to the topic.</t>
  </si>
  <si>
    <t>The second strange voice halfway through distracted me.</t>
  </si>
  <si>
    <t>They are monotonous to watch/listen to.</t>
  </si>
  <si>
    <t>Might benefit from mandatory breaks or sections that can be deliberately repeated.</t>
  </si>
  <si>
    <t>Slower.</t>
  </si>
  <si>
    <t>Less information at once.</t>
  </si>
  <si>
    <t>More pauses.</t>
  </si>
  <si>
    <t>No “now we know this,” because I might not have understood something, and then it feels a bit awkward.</t>
  </si>
  <si>
    <t>Even if content is already quite short, maybe package it into smaller sub-videos.</t>
  </si>
  <si>
    <t>Try to make the video more engaging.</t>
  </si>
  <si>
    <t>More intermediate explanations.</t>
  </si>
  <si>
    <t>Slower pace.</t>
  </si>
  <si>
    <t>If you don’t pay attention for a moment, you’ve already missed the most important parts and can’t get back into it easily.</t>
  </si>
  <si>
    <t>Maybe intermediate summaries.</t>
  </si>
  <si>
    <t>The information was presented too quickly in succession.</t>
  </si>
  <si>
    <t>A slower pace with pauses between sections would be helpful.</t>
  </si>
  <si>
    <t>Highlight the most important information.</t>
  </si>
  <si>
    <t>Accessibility topics (subtitles for hearing impaired, color choice for people with color vision deficiencies, etc.).</t>
  </si>
  <si>
    <t>There was content that appeared abruptly and very briefly.</t>
  </si>
  <si>
    <t>To understand it, I would have had to pause it outside of a study.</t>
  </si>
  <si>
    <t>Animations can be useful, but it should always be clear what they are referring to. I sometimes missed that.</t>
  </si>
  <si>
    <t>More flexible speed control.</t>
  </si>
  <si>
    <t>Text and graphics were sometimes a bit unstructured regarding their distribution.</t>
  </si>
  <si>
    <t>Text and graphics were sometimes only shown briefly before moving on to the next content.</t>
  </si>
  <si>
    <t>Do not play so fast …</t>
  </si>
  <si>
    <t>… pressure to perform, only catching half of it.</t>
  </si>
  <si>
    <t>Being able to press pause and go back would be important; otherwise I didn’t pay full attention to some parts.</t>
  </si>
  <si>
    <t>Personally, the video was too fast for me.</t>
  </si>
  <si>
    <t>Too many technical terms in a short time.</t>
  </si>
  <si>
    <t>For me, it was hard to simultaneously understand the meaning of the words and continue watching the video.</t>
  </si>
  <si>
    <t>Possibly a speed controller? (without distorting the audio, if possible lol) or the ability to jump back a few seconds.</t>
  </si>
  <si>
    <t>I personally have difficulty with videos in general.</t>
  </si>
  <si>
    <t>I think this video was mainly too fast, but I don’t know if it would have been easier for me if it were simply slower.</t>
  </si>
  <si>
    <t>Sometimes it helps to demonstrate the information again with examples.</t>
  </si>
  <si>
    <t>It feels like the information is just being listed.</t>
  </si>
  <si>
    <t>Sometimes a bit too fast.</t>
  </si>
  <si>
    <t>It was spoken very quickly …</t>
  </si>
  <si>
    <t>… I think a slightly slower pace would make it easier to remember.</t>
  </si>
  <si>
    <t>Some information was repeated at arbitrary points. This unsettles me as a viewer.</t>
  </si>
  <si>
    <t>A summary at the end would of course have been good.</t>
  </si>
  <si>
    <t>Perhaps not such strong background colors, e.g., blue or orange took over the images too much.</t>
  </si>
  <si>
    <t>More pauses to process information briefly before new information is presented.</t>
  </si>
  <si>
    <t>More arrows to follow the process better.</t>
  </si>
  <si>
    <t>Fade or shrink things that are not being discussed to give more space to the information being presented.</t>
  </si>
  <si>
    <t>Bookmarks.</t>
  </si>
  <si>
    <t>Subtitles.</t>
  </si>
  <si>
    <t>At times, there was a lot of information on the screen at once.</t>
  </si>
  <si>
    <t>Sometimes the content was a bit too fast, or the slides were overloaded with text.</t>
  </si>
  <si>
    <t>The slides were overloaded with text.</t>
  </si>
  <si>
    <t>The video presented very complex information in a very short time. Perhaps it could be split up a bit.</t>
  </si>
  <si>
    <t>A lot of information.</t>
  </si>
  <si>
    <t>Very fast.</t>
  </si>
  <si>
    <t>Without prior knowledge, it would probably be very hard to keep up.</t>
  </si>
  <si>
    <t>Ability to pause.</t>
  </si>
  <si>
    <t>Repeated short pauses (1–3 seconds).</t>
  </si>
  <si>
    <t>Summary at the end.</t>
  </si>
  <si>
    <t>Video speed should not be too fast.</t>
  </si>
  <si>
    <t>Intonation is important.</t>
  </si>
  <si>
    <t>The pace was sometimes a bit fast.</t>
  </si>
  <si>
    <t>A classic format, but sometimes I lose attention.</t>
  </si>
  <si>
    <t>More natural voices with varied tempo (the synthetic voice is unattractive and affects attention, especially when “Human Genome Project” was not pronounced in English).</t>
  </si>
  <si>
    <t>It may not have been only in the video alone but also with the overlays, that the sudden exclamations were awkward.</t>
  </si>
  <si>
    <t>Some terms and hierarchies were explained too quickly.</t>
  </si>
  <si>
    <t>The screen was too full at the end.</t>
  </si>
  <si>
    <t>Break up information a bit more.</t>
  </si>
  <si>
    <t>Condense information into smaller parts.</t>
  </si>
  <si>
    <t>Display less information at once on the screen.</t>
  </si>
  <si>
    <t>This works fine for short content in my opinion.</t>
  </si>
  <si>
    <t>I could hardly imagine a whole lecture like this without mentally drifting off.</t>
  </si>
  <si>
    <t>If it’s longer, it needs chapter divisions, structure, repetitions, etc.</t>
  </si>
  <si>
    <t>If it’s longer, I’ll fall asleep.</t>
  </si>
  <si>
    <t>Text Improvement (Spelling, Grammar, Translations)</t>
  </si>
  <si>
    <t>Idea Generation</t>
  </si>
  <si>
    <t>Legal Inquiries on Topics</t>
  </si>
  <si>
    <t>Opinions on Topics</t>
  </si>
  <si>
    <t>Learning New Things in General</t>
  </si>
  <si>
    <t>Daily Use</t>
  </si>
  <si>
    <t>Checking Python APIs</t>
  </si>
  <si>
    <t>Framework Research (Angular, NodeJS)</t>
  </si>
  <si>
    <t>Grammarly for correct English in papers</t>
  </si>
  <si>
    <t>A few times per week</t>
  </si>
  <si>
    <t>For rewriting text</t>
  </si>
  <si>
    <t>None</t>
  </si>
  <si>
    <t>Short summaries/explanations of complex text</t>
  </si>
  <si>
    <t>General Idea Generation</t>
  </si>
  <si>
    <t>Initial source search</t>
  </si>
  <si>
    <t>Generally supporting simple programming tasks (mostly out of convenience/laziness)</t>
  </si>
  <si>
    <t>Proofreading and translating texts</t>
  </si>
  <si>
    <t>Mostly medium-difficulty research, where it’s easier than multiple Google searches but still verifiable</t>
  </si>
  <si>
    <t>Sometimes also comparisons and simple data analysis (with fact-checking and attention to resources)</t>
  </si>
  <si>
    <t>Smaller coding tasks (LaTeX, HTML)</t>
  </si>
  <si>
    <t>Formulating professional emails</t>
  </si>
  <si>
    <t>Not at all</t>
  </si>
  <si>
    <t>I now use LLMs almost daily</t>
  </si>
  <si>
    <t>Professionally (programming)</t>
  </si>
  <si>
    <t>Creating texts</t>
  </si>
  <si>
    <t>Research</t>
  </si>
  <si>
    <t>Creating summaries</t>
  </si>
  <si>
    <t>Getting a quick overview of specific areas</t>
  </si>
  <si>
    <t>But unfortunately, they still sometimes hallucinate and produce false information</t>
  </si>
  <si>
    <t>For summarizing individual points</t>
  </si>
  <si>
    <t>To extract starting points for unspecific searches</t>
  </si>
  <si>
    <t>~1–2 times per week</t>
  </si>
  <si>
    <t>For literature research</t>
  </si>
  <si>
    <t>Image generation</t>
  </si>
  <si>
    <t>Ideas for approaches to different tasks</t>
  </si>
  <si>
    <t>Code snippets</t>
  </si>
  <si>
    <t>Never</t>
  </si>
  <si>
    <t>Experimenting with LLMs to better understand their capabilities</t>
  </si>
  <si>
    <t>Use for text translation</t>
  </si>
  <si>
    <t>For images</t>
  </si>
  <si>
    <t>When developing software, if I want to quickly try something and see if an idea would work (e.g., tools for file conversions)</t>
  </si>
  <si>
    <t>To (usually unsuccessfully) try to find information not available via regular search engines</t>
  </si>
  <si>
    <t>When things in programming projects are poorly documented</t>
  </si>
  <si>
    <t>Improving phrasing and grammar, especially when writing in a foreign language</t>
  </si>
  <si>
    <t>Programming help, e.g., explanations of syntax or function documentation</t>
  </si>
  <si>
    <t>For initial topic introductions or for review and refreshment</t>
  </si>
  <si>
    <t>Once per week</t>
  </si>
  <si>
    <t>Several times daily</t>
  </si>
  <si>
    <t>To get a faster possible answer</t>
  </si>
  <si>
    <t>Frequent use for everyday questions</t>
  </si>
  <si>
    <t>e.g., calculating nutritional values, amounts of cat food</t>
  </si>
  <si>
    <t>Comparing various products I am considering buying</t>
  </si>
  <si>
    <t>Also for sentence structure or improving sentence flow</t>
  </si>
  <si>
    <t>Creating graphics for presentations</t>
  </si>
  <si>
    <t>Drafting formal emails</t>
  </si>
  <si>
    <t>Three to four days per week</t>
  </si>
  <si>
    <t>Mainly research</t>
  </si>
  <si>
    <t>Short, repetitive programming tasks</t>
  </si>
  <si>
    <t>Rarely</t>
  </si>
  <si>
    <t>For initial research</t>
  </si>
  <si>
    <t>Paper summaries</t>
  </si>
  <si>
    <t>1–3 times per week</t>
  </si>
  <si>
    <t>Summarizing papers</t>
  </si>
  <si>
    <t>Writing small programs/scripts</t>
  </si>
  <si>
    <t>Explaining and giving an overview of topics I have little prior knowledge about</t>
  </si>
  <si>
    <t>Daily</t>
  </si>
  <si>
    <t>For brainstorming</t>
  </si>
  <si>
    <t>Searching for sources, etc.</t>
  </si>
  <si>
    <t>About once per week</t>
  </si>
  <si>
    <t>For code</t>
  </si>
  <si>
    <t>Spellcheck</t>
  </si>
  <si>
    <t>Basic work steps, e.g., transforming information from one format to another</t>
  </si>
  <si>
    <t>Translations</t>
  </si>
  <si>
    <t>Quickly retrieving information about certain objects/photos, etc.</t>
  </si>
  <si>
    <t>About every two days</t>
  </si>
  <si>
    <t>For improvements or rewording of individual paragraphs</t>
  </si>
  <si>
    <t>Finding tasks or assignments</t>
  </si>
  <si>
    <t>Checking test specifications for solvability using LLMs</t>
  </si>
  <si>
    <t>Several times per week</t>
  </si>
  <si>
    <t>Drafting texts</t>
  </si>
  <si>
    <t>I only use, e.g., Grammarly and DeepL for translation help and proofreading written content</t>
  </si>
  <si>
    <t>I don’t otherwise use generative AI (ChatGPT, etc.)</t>
  </si>
  <si>
    <t>As a substitute for internet research instead of Google</t>
  </si>
  <si>
    <t>For solving simple programming tasks</t>
  </si>
  <si>
    <t>Every day</t>
  </si>
  <si>
    <t>Programming</t>
  </si>
  <si>
    <t>Email composition</t>
  </si>
  <si>
    <t>Paper writing</t>
  </si>
  <si>
    <t>Python code</t>
  </si>
  <si>
    <t>Plot generation for exams</t>
  </si>
  <si>
    <t>Writing assistance (grammar, etc.)</t>
  </si>
  <si>
    <t>Short research</t>
  </si>
  <si>
    <t>Rephrasing</t>
  </si>
  <si>
    <t>Looking up additional explanations</t>
  </si>
  <si>
    <t>Refining searches for information when nothing is found directly</t>
  </si>
  <si>
    <t>Preferably not at all</t>
  </si>
  <si>
    <t>I can’t deal with the rambling in the answers (note: too much information, which would be too much for this study)</t>
  </si>
  <si>
    <t>Parts of the voices, not all, but parts of them</t>
  </si>
  <si>
    <t>Possibly visual content, hard to say</t>
  </si>
  <si>
    <t>Synchronization of image and audio</t>
  </si>
  <si>
    <t>Voice of the presenter</t>
  </si>
  <si>
    <t>Presentation text only to a limited extent</t>
  </si>
  <si>
    <t>Didn’t pay attention and probably too little biology knowledge to fact-check anything</t>
  </si>
  <si>
    <t>In the first video (note: genome), in one segment the speaker was unusually slow</t>
  </si>
  <si>
    <t>Possibly a few text passages</t>
  </si>
  <si>
    <t>The content didn’t seem LLM-generated to me</t>
  </si>
  <si>
    <t>I didn’t expect that parts were generated with LLMs</t>
  </si>
  <si>
    <t>If anywhere, then in the overlays, but I mostly remember graphics, so I don’t have LLM use in mind for that</t>
  </si>
  <si>
    <t>I am very unsure, somewhere between everything and nothing</t>
  </si>
  <si>
    <t>The voice-over is quite certainly computer-generated</t>
  </si>
  <si>
    <t>Don’t know</t>
  </si>
  <si>
    <t>It can’t be entirely ruled out, but I can’t make a statement about it</t>
  </si>
  <si>
    <t>It seemed to me that the content was largely not generated by LLMs</t>
  </si>
  <si>
    <t>The background voice</t>
  </si>
  <si>
    <t>The text spoken by the voice</t>
  </si>
  <si>
    <t>The video without interactive features</t>
  </si>
  <si>
    <t>A segment in the audio track of the video with overlays obviously seemed LLM-generated</t>
  </si>
  <si>
    <t>The spoken text could have been generated</t>
  </si>
  <si>
    <t>For the visualizations in the video it is also possible, but I can’t say for certain</t>
  </si>
  <si>
    <t>I didn’t actually think there could be an LLM behind it</t>
  </si>
  <si>
    <t>The images/elements on the right side look like LLM-generated visual representations (e.g., SVGs)</t>
  </si>
  <si>
    <t>The audio from a text script</t>
  </si>
  <si>
    <t>Hard to say</t>
  </si>
  <si>
    <t>Many LLMs use listing of information similarly to what is shown in the video</t>
  </si>
  <si>
    <t>I think LLMs may have been used to summarize the information for the video</t>
  </si>
  <si>
    <t>I don’t think the information was read aloud or artistically processed by LLMs, although I didn’t focus on it much</t>
  </si>
  <si>
    <t>The synchronization between audio and content is very likely</t>
  </si>
  <si>
    <t>Maybe the interactive elements/overlays</t>
  </si>
  <si>
    <t>I can’t say for certain</t>
  </si>
  <si>
    <t>In principle, everything could have been created by an LLM</t>
  </si>
  <si>
    <t>Spoken text</t>
  </si>
  <si>
    <t>I don’t think so, because the videos seem a bit older, before AI became widespread</t>
  </si>
  <si>
    <t>The overlays could be AI-generated, but AI usually creates very “loud” or striking graphics; the ones shown were very unobtrusive</t>
  </si>
  <si>
    <t>Possibly the overlays</t>
  </si>
  <si>
    <t>Probably the voice</t>
  </si>
  <si>
    <t>At some point, the reading voice changed briefly. Otherwise, I didn’t notice anything</t>
  </si>
  <si>
    <t>Some speech acts seemed somewhat LLM-generated</t>
  </si>
  <si>
    <t>Possibly a few graphics?</t>
  </si>
  <si>
    <t>The overlays</t>
  </si>
  <si>
    <t>Possibly surveys</t>
  </si>
  <si>
    <t>Those slides in the video that were more text-heavy</t>
  </si>
  <si>
    <t>Voice sounded AI-like</t>
  </si>
  <si>
    <t>One part of the video had a different voice for a short time</t>
  </si>
  <si>
    <t>One graphic (summary of genome and chromosomes, etc.) was somewhat oddly designed, but I couldn’t say for sure if it was generated</t>
  </si>
  <si>
    <t>Speech output</t>
  </si>
  <si>
    <t>Functionality of the overlays</t>
  </si>
  <si>
    <t>Voice</t>
  </si>
  <si>
    <t>None; I wouldn’t have noticed anything</t>
  </si>
  <si>
    <t>The questions (context sometimes missing)</t>
  </si>
  <si>
    <t>The voice in the video</t>
  </si>
  <si>
    <t>Human graphic</t>
  </si>
  <si>
    <t>Video partly when showing individual parts of the cell (note: user had eukaryote video without overlays)</t>
  </si>
  <si>
    <t>No idea, but in this case it’s not relevant as long as the content is correct and didactically well-structured</t>
  </si>
  <si>
    <t>Generally positive attitude</t>
  </si>
  <si>
    <t>Opportunity to better understand things</t>
  </si>
  <si>
    <t>One should just be careful not to stop thinking</t>
  </si>
  <si>
    <t>Positive, but always validating</t>
  </si>
  <si>
    <t>They exist and will continue to exist</t>
  </si>
  <si>
    <t>Fact-checks are often necessary due to possible false positives</t>
  </si>
  <si>
    <t>Overhyped for what they can actually do</t>
  </si>
  <si>
    <t>Skeptical</t>
  </si>
  <si>
    <t>Aware that they can hallucinate</t>
  </si>
  <si>
    <t>Often find them overrated</t>
  </si>
  <si>
    <t>Very positive when used correctly</t>
  </si>
  <si>
    <t>Complex; in my studies, I have already engaged deeply with the topic. The short version: there are far too few regulations, even from users themselves</t>
  </si>
  <si>
    <t>Resource consumption, privacy risks, and copyright issues are immense, aside from data/training biases and mal-intended use cases</t>
  </si>
  <si>
    <t>The speed and thoughtlessness of their development and use is quite alarming</t>
  </si>
  <si>
    <t>It has become much easier to do very complex things quickly, without proper prior engagement</t>
  </si>
  <si>
    <t>Of course, in the end, they are an impressive tool with many useful applications, which I also use</t>
  </si>
  <si>
    <t>They are a tool that can and should be used</t>
  </si>
  <si>
    <t>However, one should exercise caution and question the results</t>
  </si>
  <si>
    <t>Not every task can sensibly be handled by LLMs</t>
  </si>
  <si>
    <t>Rather dismissive</t>
  </si>
  <si>
    <t>I feel that certain skills, previously very useful in professional and everyday life, may atrophy</t>
  </si>
  <si>
    <t>I don’t rule out using LLMs in the future for certain texts</t>
  </si>
  <si>
    <t>I consider them useful, exciting, and interesting</t>
  </si>
  <si>
    <t>At the same time, I think their abilities are somewhat overestimated (next big hype after blockchain)</t>
  </si>
  <si>
    <t>Naturally, they also have weaknesses, such as only being able to work with existing content/biases, etc.</t>
  </si>
  <si>
    <t>Very helpful for many tasks</t>
  </si>
  <si>
    <t>They can also produce nonsense, which must be considered</t>
  </si>
  <si>
    <t>Can be helpful if used thoughtfully</t>
  </si>
  <si>
    <t>Helpful and supportive</t>
  </si>
  <si>
    <t>Answers to more complex questions need to be questioned and fact-checked</t>
  </si>
  <si>
    <t>Content generated by LLMs is not necessarily recognizable as such</t>
  </si>
  <si>
    <t>Generally positive, as they bring advantages in many areas</t>
  </si>
  <si>
    <t>I think they must be used reflectively and one should not blindly trust the information presented</t>
  </si>
  <si>
    <t>Do not like them</t>
  </si>
  <si>
    <t>LLMs are a new and promising technology in the midst of a hype cycle, leading to unrealistic expectations</t>
  </si>
  <si>
    <t>Clear use cases have not yet fully emerged but are being researched intensively, so things are constantly changing/improving/becoming clearer</t>
  </si>
  <si>
    <t>I feel that if I use them too often, I lose some ability to approach problems creatively</t>
  </si>
  <si>
    <t>I don’t want to become dependent on them</t>
  </si>
  <si>
    <t>Generally rather negative</t>
  </si>
  <si>
    <t>I only use them if I really don’t know how to proceed, and at that point LLMs often can’t really help</t>
  </si>
  <si>
    <t>I am also critical of using LLMs for summarizing information or preparing it for exam study, as I learn a lot myself through the summarization process</t>
  </si>
  <si>
    <t>Can be very helpful if used correctly</t>
  </si>
  <si>
    <t>Can also be manipulative and misinform people</t>
  </si>
  <si>
    <t>High potential for misuse by politics and corporations (advertising, influencing elections, etc.)</t>
  </si>
  <si>
    <t>Why not</t>
  </si>
  <si>
    <t>Short summaries of interesting content, first impression of a topic</t>
  </si>
  <si>
    <t>Quality could still be better</t>
  </si>
  <si>
    <t>I think they make many tasks easier</t>
  </si>
  <si>
    <t>They encourage less independent thinking</t>
  </si>
  <si>
    <t>I use LLMs myself but want to try doing some tasks without AI “taking over,” e.g., writing emails, for ecological reasons</t>
  </si>
  <si>
    <t>Very positive</t>
  </si>
  <si>
    <t>For small coding tasks</t>
  </si>
  <si>
    <t>Moderate for research (but improving)</t>
  </si>
  <si>
    <t>For factual knowledge, Google and Wikipedia are better (dates, amounts, sizes, etc.)</t>
  </si>
  <si>
    <t>Can be very helpful, but results should always be critically assessed</t>
  </si>
  <si>
    <t>I use them for topics I know little about</t>
  </si>
  <si>
    <t>I am open as long as they are not used for plagiarism</t>
  </si>
  <si>
    <t>Positive</t>
  </si>
  <si>
    <t>Often very useful</t>
  </si>
  <si>
    <t>Often false information</t>
  </si>
  <si>
    <t>Checking output requires extra effort; must be estimated</t>
  </si>
  <si>
    <t>Depending on the application, they can do far less than expected and should be approached with great caution, especially for scientific questions</t>
  </si>
  <si>
    <t>Generally positive, as humans are supported</t>
  </si>
  <si>
    <t>Those who know how to use them will perform even better work</t>
  </si>
  <si>
    <t>Difficult: they require many resources and use other people’s data and content without consent; I try to avoid them for that reason</t>
  </si>
  <si>
    <t>I consider them a valuable aid for many tasks</t>
  </si>
  <si>
    <t>I notice that their current capabilities are overestimated in many areas</t>
  </si>
  <si>
    <t>Do not use</t>
  </si>
  <si>
    <t>Optimistic</t>
  </si>
  <si>
    <t>Useful as a tool as long as one reflects on and verifies the output</t>
  </si>
  <si>
    <t>They can be very useful and helpful</t>
  </si>
  <si>
    <t>One should not leave 100% of thinking to them</t>
  </si>
  <si>
    <t>They should be used to support knowledge gathering, reviewing, and verification</t>
  </si>
  <si>
    <t>No 1:1 copying without own thought and reflection</t>
  </si>
  <si>
    <t>As a historian, I follow Hegel and wait for sunset before the owl of Minerva takes flight. Cryptic? Yes—but at least not LLM-generated</t>
  </si>
  <si>
    <t>The summary modal was a bit confusing for me with the visualization. I could click on certain topics on the left side, and sometimes they would highlight a part on the right side.</t>
  </si>
  <si>
    <t>Pleasant questionnaires :) It would just be nice if they could be submitted and navigated with the Enter key.</t>
  </si>
  <si>
    <t>NASA TLX – I didn’t feel like I completed a task. I only watched a video without having to think about anything. Therefore, the overall effort was minimal to none.</t>
  </si>
  <si>
    <t>The questionnaire before and after may affect how well one remembers certain video information. I noticed that I paid more attention to specific information if I knew it had been in the questionnaire beforehand.</t>
  </si>
  <si>
    <t>Unfortunately, you couldn’t go back on the knowledge questions if you accidentally clicked “Next.”</t>
  </si>
  <si>
    <t>The content was interesting, but there were many technical terms in a short time.</t>
  </si>
  <si>
    <t>Scrolling in the overlays often didn’t work correctly. Instead, it scrolled in the background (note: when the mouse pointer was outside the overlay).</t>
  </si>
  <si>
    <t>I would like the version with overlays for LectureTube videos. They are often long, and it’s hard to stay focused.</t>
  </si>
  <si>
    <t>This summary is practical for reviewing everything again.</t>
  </si>
  <si>
    <t>I really liked the version with overlays. With the other one, I couldn’t concentrate at all.</t>
  </si>
  <si>
    <t>You don’t want to know what I’m thinking: This looks like mushrooms—how does this help me? (note: ribosomes inside vs. outside the ER)</t>
  </si>
  <si>
    <t>The pace is fast, and not all elements are clickable, which makes me unsure.</t>
  </si>
  <si>
    <t>I want to be able to pause and rewind the video.</t>
  </si>
  <si>
    <t>Does this have no audio? Do I have to do something here? (note: in the first overlay)</t>
  </si>
  <si>
    <t>The “Next” button is greyed out in the questionnaire, so I didn’t think I could click it.</t>
  </si>
  <si>
    <t>Can I now tell what was AI-generated? The voice was clear, but otherwise?</t>
  </si>
  <si>
    <t>Why exactly biology? There are so many interesting areas.</t>
  </si>
  <si>
    <t>In the continuous video, there was too much information at once, so I tuned out.</t>
  </si>
  <si>
    <t>Scrolling without a mouse is inconvenient.</t>
  </si>
  <si>
    <t>A “Back” button would be practical to review everything at the end.</t>
  </si>
  <si>
    <t>In one question, it said, “What is meant by compartmentalization?” I know compartmentalization enables the answer, but the phrasing “what is meant by X” instead of “what does X enable” confuses me.</t>
  </si>
  <si>
    <t>I think the interaction is cool.</t>
  </si>
  <si>
    <t>I don’t understand some examples and how they relate to the content, which confuses me more than it helps.</t>
  </si>
  <si>
    <t>A jump through the points/progress indicator in the animation, or directly clicking the elements, would be practical.</t>
  </si>
  <si>
    <t>Can I translate this into Chinese? I had biology in Chinese, so I don’t know what it means.</t>
  </si>
  <si>
    <t>Personal goals: I wasn’t attentive enough. I didn’t remember all the details. The content didn’t interest me.</t>
  </si>
  <si>
    <t>I remember my own previous answers more than the video content, but I don’t know if they were correct (note: knowledge questions in the follow-up session).</t>
  </si>
  <si>
    <t>Animation/pause button is confusing. After clicking, it switches from animation to pause. Is it paused or active?</t>
  </si>
  <si>
    <t>“Now that you already know” in the video. I don’t know anything—where does that assumption come from?</t>
  </si>
  <si>
    <t>The examples could go more in-depth and include more content.</t>
  </si>
  <si>
    <t>I want to decide when I see these examples and when not.</t>
  </si>
  <si>
    <t>I would like to control the video’s pace myself.</t>
  </si>
  <si>
    <t>NASA is often confusing at the start: what has changed? (note: in the paired display of terms)</t>
  </si>
  <si>
    <t>A zoom function would be helpful in the summary; as a glasses wearer, the elements are too small for me.</t>
  </si>
  <si>
    <t>The content doesn’t interest or affect me. I also have no exam on it. Therefore, I had no intrinsic motivation to pay attention or remember anything (note: comment in follow-up session).</t>
  </si>
  <si>
    <t>I don’t remember anything anymore. Biology doesn’t interest me either (note: comment in follow-up session).</t>
  </si>
  <si>
    <t>I still remember the moving mushrooms, but even back then I didn’t understand the connection to the video content (note: comment in follow-up session).</t>
  </si>
  <si>
    <t>What is the task for watching these approaches? No goals were defined to evaluate them.</t>
  </si>
  <si>
    <t>I think the study is great, and I would welcome learning content like in version 1 (note: KnowTI) in education!</t>
  </si>
  <si>
    <t>Cell with separated compartments.</t>
  </si>
  <si>
    <t>Graphic on compartmentalization</t>
  </si>
  <si>
    <t>Basic structure of a eukaryotic cell</t>
  </si>
  <si>
    <t>Many circles</t>
  </si>
  <si>
    <t>A cell nucleus enclosed in a membrane.</t>
  </si>
  <si>
    <t>Colorful bubbles with colorful representations inside, a bit like bacteria</t>
  </si>
  <si>
    <t>Cell compartmentalization</t>
  </si>
  <si>
    <t>The division of the cell into different reaction spaces (viewed as a whole from above)</t>
  </si>
  <si>
    <t>Comparison with cells that are not closed externally, i.e., a closed shell with various organelles inside</t>
  </si>
  <si>
    <t>There is a cell nucleus!</t>
  </si>
  <si>
    <t>Graphic with two strands flowing into each other</t>
  </si>
  <si>
    <t>Entire cell overview with labels of components</t>
  </si>
  <si>
    <t>Depiction of the cell with different compartments</t>
  </si>
  <si>
    <t>Nothing</t>
  </si>
  <si>
    <t>Rectangular representation of elements of a cell. These had different forms of depiction</t>
  </si>
  <si>
    <t>The division of the cell into organelles with different functions</t>
  </si>
  <si>
    <t>Cellular</t>
  </si>
  <si>
    <t>Small factories</t>
  </si>
  <si>
    <t>Some school pictures with a nucleus and so on in pink</t>
  </si>
  <si>
    <t>Structure of the cell with organelles and nucleus with DNA as chromosomes</t>
  </si>
  <si>
    <t>Cell with compartmentalization, various cell organelles. Bubble with liquid content, in which nucleus, Golgi apparatus, ER, etc., float</t>
  </si>
  <si>
    <t>Nested bubbles</t>
  </si>
  <si>
    <t>The image showing the two cells with nuclei side by side</t>
  </si>
  <si>
    <t>Cell with different segments</t>
  </si>
  <si>
    <t>Diagram of the structure of a eukaryotic cell</t>
  </si>
  <si>
    <t>Organisms in a cell</t>
  </si>
  <si>
    <t>Depiction of the cell with its different components, e.g., nucleus, mitochondrion, etc.</t>
  </si>
  <si>
    <t>Visualization of the cell, showing the division of individual areas of the cell (“compartmentalization,” I think?)</t>
  </si>
  <si>
    <t>Cell structure showing all components</t>
  </si>
  <si>
    <t>Rough drawing of a cell with nucleus and various organelles</t>
  </si>
  <si>
    <t>Cell structure</t>
  </si>
  <si>
    <t>2D diagram of a cell with smaller circles (organelles) inside, black and white</t>
  </si>
  <si>
    <t>Structure of the cell with its components</t>
  </si>
  <si>
    <t>Drawn cross-section of a cell with nucleus and mitochondria, etc.</t>
  </si>
  <si>
    <t>Long DNA structure</t>
  </si>
  <si>
    <t>The entirety of an organism’s genetic material, stored in chromosomes (some of which look like an X)</t>
  </si>
  <si>
    <t>These strands, basically</t>
  </si>
  <si>
    <t>A DNA</t>
  </si>
  <si>
    <t>Double helix and comparison of different genome sizes</t>
  </si>
  <si>
    <t>Double helix and base chains</t>
  </si>
  <si>
    <t>Unfortunately, no graphic representation</t>
  </si>
  <si>
    <t>Spiral-shaped genetic material</t>
  </si>
  <si>
    <t>Classic depiction of DNA as a double helix</t>
  </si>
  <si>
    <t>Chromosomes</t>
  </si>
  <si>
    <t>Double-helix DNA strand</t>
  </si>
  <si>
    <t>All human chromosomes lined up side by side</t>
  </si>
  <si>
    <t>A DNA strand split up to the chromosome pair</t>
  </si>
  <si>
    <t>Double helix and base pairs</t>
  </si>
  <si>
    <t>DNA helix</t>
  </si>
  <si>
    <t>Schematic depiction of base pairs, helix strands</t>
  </si>
  <si>
    <t>Double helix with base pairs being split during transcription (like a zipper)</t>
  </si>
  <si>
    <t>DNA and mRNA</t>
  </si>
  <si>
    <t>DNA Structure</t>
  </si>
  <si>
    <t>Chromosomes (+DNA)</t>
  </si>
  <si>
    <t>Other</t>
  </si>
  <si>
    <t>Compartmentalization</t>
  </si>
  <si>
    <t>DNA Spiral</t>
  </si>
  <si>
    <t>The visual depiction of chromosomes (XX/XY), even if it’s not the same</t>
  </si>
  <si>
    <t>An intertwined chain</t>
  </si>
  <si>
    <t>A bunch of DNA strands</t>
  </si>
  <si>
    <t>The entirety of the genes!</t>
  </si>
  <si>
    <t>Sequence of individual dots representing genes</t>
  </si>
  <si>
    <t>The shape of chromosomes</t>
  </si>
  <si>
    <t>A DNA strand</t>
  </si>
  <si>
    <t>Spiral arrangement</t>
  </si>
  <si>
    <t>The chromosome depiction resembling an “X” and stretched out</t>
  </si>
  <si>
    <t>The 23 human chromosome pairs</t>
  </si>
  <si>
    <t>Long sequences of ATGC pairs</t>
  </si>
  <si>
    <t>Double-helix form of Deoxyribonucleic Acid</t>
  </si>
  <si>
    <t>DNA strand graphic</t>
  </si>
  <si>
    <t>DNA spiral</t>
  </si>
  <si>
    <t>Double Helix and mRNA splitting</t>
  </si>
  <si>
    <t>Double helix and chromosome pairs</t>
  </si>
  <si>
    <t>2 spirals and spheres</t>
  </si>
  <si>
    <t>Genes</t>
  </si>
  <si>
    <t>Cells of living organisms</t>
  </si>
  <si>
    <t>Several separate functions within cells</t>
  </si>
  <si>
    <t>RNA processing</t>
  </si>
  <si>
    <t>Have a cell with internal divisions where each organelle performs a different function</t>
  </si>
  <si>
    <t>Ribosomes build proteins from amino acids</t>
  </si>
  <si>
    <t>E.g., the nucleus contains the genome</t>
  </si>
  <si>
    <t>Multiplication of cells</t>
  </si>
  <si>
    <t>Humans/animals/plants have eukaryotes</t>
  </si>
  <si>
    <t>These are life forms that have a nucleus</t>
  </si>
  <si>
    <t>This includes humans as well as animals, plants, etc.</t>
  </si>
  <si>
    <t>Very little content-wise, rather a complex information overload that was hard to categorize</t>
  </si>
  <si>
    <t>Definition (vague)</t>
  </si>
  <si>
    <t>Some functions of the cells (mRNA, ribosomes, mitochondria)</t>
  </si>
  <si>
    <t>Division of the cell into different reaction spaces</t>
  </si>
  <si>
    <t>Rough structure of the different reaction spaces, i.e., nucleus, ribosomes, ER, mitochondria</t>
  </si>
  <si>
    <t>Transcription of RNA</t>
  </si>
  <si>
    <t>Pre-treated/amplified (?) RNA to ensure stability</t>
  </si>
  <si>
    <t>They consist of multiple cells</t>
  </si>
  <si>
    <t>The cells of eukaryotes are closed externally</t>
  </si>
  <si>
    <t>They have different organelles specialized for different functions (e.g., nucleus, mitochondria, ribosomes, etc.)</t>
  </si>
  <si>
    <t>All animals, humans, and plants have such cells with nuclei</t>
  </si>
  <si>
    <t>There were eukaryotes with a nucleus and, in contrast, some (pro...) without a nucleus</t>
  </si>
  <si>
    <t>Eukaryotes have a cell wall</t>
  </si>
  <si>
    <t>Eukaryotes have a nucleus</t>
  </si>
  <si>
    <t>In contrast to prokaryotes</t>
  </si>
  <si>
    <t>Are divided into compartments</t>
  </si>
  <si>
    <t>They consist of different subsystems, each performing a different function (e.g., ribosomes, mitochondria, etc.)</t>
  </si>
  <si>
    <t>The terms transformation, transportation</t>
  </si>
  <si>
    <t>A component named “Mis…,” which functions as the cell’s power plant</t>
  </si>
  <si>
    <t>That there are organelles with different functions and what they are</t>
  </si>
  <si>
    <t>Nucleus is true</t>
  </si>
  <si>
    <t>Cell specialization</t>
  </si>
  <si>
    <t>Honestly? I don’t remember anything specific, or it hasn’t stuck when I learned it</t>
  </si>
  <si>
    <t>Eukaryotes are not the cells themselves. They are organisms whose cells have a nucleus.</t>
  </si>
  <si>
    <t>Eukaryotes reproduce by cell division, which, however, does not appear in the video. Cell development is briefly mentioned.</t>
  </si>
  <si>
    <t>They consist of eukaryotes.</t>
  </si>
  <si>
    <t>mRNA is not a function, but a molecule that carries information. Ribosomes and mitochondria are cell components (organelles).</t>
  </si>
  <si>
    <t>Transcription is a step of protein biosynthesis in which DNA is copied into mRNA.</t>
  </si>
  <si>
    <t>RNA processing is used to edit and improve the mRNA and ensures increased stability.</t>
  </si>
  <si>
    <t>Eukaryotes can be unicellular or multicellular.</t>
  </si>
  <si>
    <t>Each cell is surrounded by a cell membrane that separates it from the external environment.</t>
  </si>
  <si>
    <t>Not all eukaryotes have a cell wall, but all have a cell membrane.</t>
  </si>
  <si>
    <t>Prokaryotes</t>
  </si>
  <si>
    <t>Compartmentalization is the division of the cell into distinct reaction spaces (through cell membranes).</t>
  </si>
  <si>
    <t>These terms or their meanings do not appear in the video. Instead, transcription (DNA =&gt; RNA) and translation (RNA =&gt; protein) were presented.</t>
  </si>
  <si>
    <t>Mitochondria</t>
  </si>
  <si>
    <t>Characteristics of Eukaryotes</t>
  </si>
  <si>
    <t>Cell Function</t>
  </si>
  <si>
    <t>Eukaryotes Genetic information in the cell nucleus is brought out of the nucleus via the ribosomes.</t>
  </si>
  <si>
    <t>Have many different cell organelles (mitochondria → energy supplier of the cell (ATP), Golgi apparatus, rough ER, smooth ER, ribosomes, etc.)</t>
  </si>
  <si>
    <t>Cell nucleus</t>
  </si>
  <si>
    <t>Different reaction spaces with different tasks</t>
  </si>
  <si>
    <t>Are the building block for multicellular life</t>
  </si>
  <si>
    <t>Have an additional step between transcription and translation that improves the mRNA.</t>
  </si>
  <si>
    <t>Has something to do with cell division</t>
  </si>
  <si>
    <t>Cell has different reaction spaces</t>
  </si>
  <si>
    <t>Proteins</t>
  </si>
  <si>
    <t>That they exist and that unlike prokaryotes they have a nucleus</t>
  </si>
  <si>
    <t>There are two different stages, translation and transcription? And in between there is a process whose name I no longer remember.</t>
  </si>
  <si>
    <t>Very little in-depth stayed with me, I think I didn’t really understand the content at the time.</t>
  </si>
  <si>
    <t>They have a cell nucleus</t>
  </si>
  <si>
    <t>Animal cells are eukaryotes, plant cells are not</t>
  </si>
  <si>
    <t>Eukaryotes have a cell nucleus, ribosomes in the nucleus and rough endoplasmic reticulum, mitochondria ATP</t>
  </si>
  <si>
    <t>Transcription, translation</t>
  </si>
  <si>
    <t>Simple organisms formed from a single cell</t>
  </si>
  <si>
    <t>Has something to do with proteins</t>
  </si>
  <si>
    <t>Eukaryotes refer to cells with a cell nucleus as opposed to prokaryotes, which do not have a cell nucleus.</t>
  </si>
  <si>
    <t>Eukaryotes can be compartmentalized, where different areas are separated and responsible for different things.</t>
  </si>
  <si>
    <t>There are also different components such as the cell nucleus, mitochondrion, ribosomes, cell plasma, etc.</t>
  </si>
  <si>
    <t>The ribosomes are responsible for the translation of RNA into proteins.</t>
  </si>
  <si>
    <t>Before translation, transcription occurs.</t>
  </si>
  <si>
    <t>Not sure</t>
  </si>
  <si>
    <t>Eukaryotes are the cells that plants, animals, humans, etc. — so most complex organisms — are made of</t>
  </si>
  <si>
    <t>They have individual areas that perform different functions, e.g., a separate cell nucleus in which the genes lie</t>
  </si>
  <si>
    <t>Ribosomes duplicate genes</t>
  </si>
  <si>
    <t>There are eukaryotes and prokaryotes</t>
  </si>
  <si>
    <t>Eukaryotes have more cell components than prokaryotes</t>
  </si>
  <si>
    <t>Transcription/translation/mRNA</t>
  </si>
  <si>
    <t>Eukaryotes have a cell nucleus</t>
  </si>
  <si>
    <t>Has a cell nucleus</t>
  </si>
  <si>
    <t>Spatial and functional separation of tasks</t>
  </si>
  <si>
    <t>In multicellular organisms</t>
  </si>
  <si>
    <t>What a cell contains</t>
  </si>
  <si>
    <t>Divided reaction spaces</t>
  </si>
  <si>
    <t>Compared to prokaryotes, eukaryotes have a cell nucleus</t>
  </si>
  <si>
    <t>Mitochondria were the energy storage</t>
  </si>
  <si>
    <t>Some little spheres float somewhere in the plasma where translation takes place</t>
  </si>
  <si>
    <t>It had something to do with cells</t>
  </si>
  <si>
    <t>That there are multiple cells like in us humans</t>
  </si>
  <si>
    <t>These are, among other things, important in connection with the topic of DNA, its translation, mRNA, protein codes</t>
  </si>
  <si>
    <t>Eukaryotes are not the cells themselves, but the organisms that possess such cells.</t>
  </si>
  <si>
    <t>Ribosomes translate mRNA into proteins. DNA replication is carried out by enzymes in the cell nucleus, not by ribosomes.</t>
  </si>
  <si>
    <t>The genome contains the entire genetic information of an organism.</t>
  </si>
  <si>
    <t>Size does not matter regarding how complex the organism is.</t>
  </si>
  <si>
    <t>The complexity of a living organism cannot be inferred from the size of its genome.</t>
  </si>
  <si>
    <t>Contains the blueprint for cells.</t>
  </si>
  <si>
    <t>Are the sequences of genes.</t>
  </si>
  <si>
    <t>Have different purposes — some are more low-level, e.g., not related to external traits; most were like that.</t>
  </si>
  <si>
    <t>That scientists have fully analyzed the human genome.</t>
  </si>
  <si>
    <t>There are different genome sizes and genome complexities.</t>
  </si>
  <si>
    <t>The number of genes does not indicate how complex an organism is (cf. fly vs. human).</t>
  </si>
  <si>
    <t>There are 23 genes, each composed of 2 chromosome pairs. These ultimately form the genome.</t>
  </si>
  <si>
    <t>Genes contain information for protein synthesis.</t>
  </si>
  <si>
    <t>There are coding gene segments (with specific information, like hair color) and non-coding segments that can still be relevant, e.g., for structural functions.</t>
  </si>
  <si>
    <t>There was an important genome sequencing project in the early 2000s that first completely sequenced the human genome.</t>
  </si>
  <si>
    <t>It consists of various A, C, T, G, which each carry information.</t>
  </si>
  <si>
    <t>There are different lengths of chromosomes.</t>
  </si>
  <si>
    <t>Only the Y chromosome (in biologically male humans) is longer than the others.</t>
  </si>
  <si>
    <t>The sex chromosome pair in biologically male humans is the only unequal pair.</t>
  </si>
  <si>
    <t>The genome is the totality of all genes in a cell.</t>
  </si>
  <si>
    <t>Parts of the genome do not store genetic information but presumably have other functions, such as structural ones.</t>
  </si>
  <si>
    <t>The size of the genome does not necessarily indicate the organism’s complexity.</t>
  </si>
  <si>
    <t>I think it was the totality of genes.</t>
  </si>
  <si>
    <t>A few numbers comparing several different organisms.</t>
  </si>
  <si>
    <t>Transfers genetic information.</t>
  </si>
  <si>
    <t>Has something to do with DNA.</t>
  </si>
  <si>
    <t>The human genome was fully decoded only relatively recently through the Human Genome Project.</t>
  </si>
  <si>
    <t>The genome describes the totality of genes.</t>
  </si>
  <si>
    <t>It contains blueprints for all proteins (coding regions) but also non-coding regions.</t>
  </si>
  <si>
    <t>Proteins are built from four different bases.</t>
  </si>
  <si>
    <t>Humans have 23 pairs of chromosomes, where 22 are always two identical (homologous) chromosomes, and one pair differs depending on sex (two X chromosomes vs. one X and one Y).</t>
  </si>
  <si>
    <t>Humans have the largest genome but not the most genes.</t>
  </si>
  <si>
    <t>The number of genes does not determine the organism’s complexity (e.g., cabbage has more genes).</t>
  </si>
  <si>
    <t>Human Genome Project.</t>
  </si>
  <si>
    <t>Chromosomes.</t>
  </si>
  <si>
    <t>Transcription.</t>
  </si>
  <si>
    <t>RNA.</t>
  </si>
  <si>
    <t>Cabbage has more chromosome pairs than humans.</t>
  </si>
  <si>
    <t>The genome is the totality of genes.</t>
  </si>
  <si>
    <t>Genes are sequences of bases, always in pairs in humans.</t>
  </si>
  <si>
    <t>Some parts code for specific things like eye color.</t>
  </si>
  <si>
    <t>Cabbage has more genes than a human.</t>
  </si>
  <si>
    <t>Humans have 46 chromosomes and 23 chromosome pairs.</t>
  </si>
  <si>
    <t>In males, one chromosome pair is XY.</t>
  </si>
  <si>
    <t>Genome size comparison.</t>
  </si>
  <si>
    <t>Coding / non-coding DNA.</t>
  </si>
  <si>
    <t>Genome vs. genes.</t>
  </si>
  <si>
    <t>Total genetic material of an organism.</t>
  </si>
  <si>
    <t>That it contains genes but also non-coding regions.</t>
  </si>
  <si>
    <t>None.</t>
  </si>
  <si>
    <t>The genome is at the top of the hierarchy.</t>
  </si>
  <si>
    <t>Individual genes lie on chromosomes, of which pairs exist.</t>
  </si>
  <si>
    <t>Chromosome pairs are mostly identical in humans (diploid set, 23 pairs).</t>
  </si>
  <si>
    <t>In males, the chromosome pair is XY.</t>
  </si>
  <si>
    <t>The number of genes says nothing about the complexity of the organism, since cabbage, for example, has more genes than a human, and a fruit fly (even with fewer chromosomes) also does not correlate.</t>
  </si>
  <si>
    <t>DNA is in the cell nucleus and is transcribed or copied into mRNA.</t>
  </si>
  <si>
    <t>Proteins are then produced from an mRNA strand, because the bases only pair in specific combinations and therefore form a kind of construction plan.</t>
  </si>
  <si>
    <t>Again related to DNA and the total amount of it.</t>
  </si>
  <si>
    <t>Organism</t>
  </si>
  <si>
    <t>The size of the genome or the number of genes does not indicate how complex an organism is.</t>
  </si>
  <si>
    <t>Genomes are not sequences of genes but rather the complete package of all genes plus other DNA segments.</t>
  </si>
  <si>
    <t>There are more non-coding regions—which often do not encode obvious outward traits—than coding regions.</t>
  </si>
  <si>
    <t>Decoding or sequencing of the human genome in the Human Genome Project.</t>
  </si>
  <si>
    <t>The human genome consists of 23 pairs of chromosomes (= 46 chromosomes) with a total of about 23,000 genes, which together form the complete genetic information.</t>
  </si>
  <si>
    <t>Since 2003.</t>
  </si>
  <si>
    <t>The genome consists of a sequence of the four bases A, C, G, and T, which encode genetic information.</t>
  </si>
  <si>
    <t>Chromosomes differ in length, meaning they contain different amounts of DNA and genes.</t>
  </si>
  <si>
    <t>The Y chromosome is not longer than the others. It is the shortest of all human chromosomes (only 50–200 genes instead of over 1000).</t>
  </si>
  <si>
    <t>Humans have 23 chromosome pairs. Of these, 22 pairs are identical in all humans (homologous). The 23rd pair consists of the sex chromosomes, which differ in size and structure in males.</t>
  </si>
  <si>
    <t>Non-coding DNA.</t>
  </si>
  <si>
    <t>It is the totality of all genetic information encoded in the DNA.</t>
  </si>
  <si>
    <t>DNA is composed of four bases. Their sequence contains instructions that serve as blueprints for proteins. However, proteins are made of amino acids, not bases.</t>
  </si>
  <si>
    <t>Cabbage has more genes than humans, but fewer chromosome pairs (only 9 chromosome pairs instead of 23 in humans) and fewer base pairs than humans.</t>
  </si>
  <si>
    <t>Some DNA segments encode specific traits, such as eye color.</t>
  </si>
  <si>
    <t>Correct for humans.</t>
  </si>
  <si>
    <t>Genome size corresponds to the number of base pairs in the DNA.</t>
  </si>
  <si>
    <t>Genetic information hierarchy.</t>
  </si>
  <si>
    <t>also for single-celled organisms</t>
  </si>
  <si>
    <t>Ribosomes are formed in the cell nucleus, but they are only active outside the cell nucleus in the cytoplasm or on the rough ER.</t>
  </si>
  <si>
    <t>Eukaryotes produce proteins (protein biosynthesis).</t>
  </si>
  <si>
    <t>Eukaryotic cells are complete units, not fragmented parts. They are therefore compartmentalized, i.e., divided into clearly defined areas, but not fragmented.</t>
  </si>
  <si>
    <t>Spheres = ribosomes</t>
  </si>
  <si>
    <t>RNA processing lies between these two stages.</t>
  </si>
  <si>
    <t>Correct, but not mentioned in the video</t>
  </si>
  <si>
    <t>Transcription (DNA =&gt; RNA) and translation (RNA =&gt; protein). RNA processing (processing of mRNA) lies between these two stages</t>
  </si>
  <si>
    <t>Plant cells are also eukaryotes.</t>
  </si>
  <si>
    <t>Simple organisms are single-celled. However, eukaryotes can also be multicellular. They consist of cells.</t>
  </si>
  <si>
    <t>Definition of the Genome</t>
  </si>
  <si>
    <t>Complexity and Size</t>
  </si>
  <si>
    <t>Gene Function</t>
  </si>
  <si>
    <t>Chromosome Structure</t>
  </si>
  <si>
    <t>DNA Coding</t>
  </si>
  <si>
    <t>Definition and Sequencing</t>
  </si>
  <si>
    <t>Genome Structure</t>
  </si>
  <si>
    <t>Totality of DNA of an organism.</t>
  </si>
  <si>
    <t>Definition, size ≠ complexity</t>
  </si>
  <si>
    <t>Entire genetic code of an organism</t>
  </si>
  <si>
    <t>Number of base pairs has nothing to do with complexity of organism</t>
  </si>
  <si>
    <t>Human … has 26 genomes / 13 pairs.</t>
  </si>
  <si>
    <t>In male, last pair is XY.</t>
  </si>
  <si>
    <t>There are atypical genomes without protein that can also play important, positive roles.</t>
  </si>
  <si>
    <t>Complexity of genome does not necessarily correlate with complexity of organism, e.g., cabbage has larger genome than human.</t>
  </si>
  <si>
    <t>Comparability genome human and cabbage</t>
  </si>
  <si>
    <t>none</t>
  </si>
  <si>
    <t>Number of chromosomes</t>
  </si>
  <si>
    <t>Structure from protein building blocks</t>
  </si>
  <si>
    <t>Non-coding sections</t>
  </si>
  <si>
    <t>Transcription via RNA</t>
  </si>
  <si>
    <t>Human has 3 million base pairs?</t>
  </si>
  <si>
    <t>Not all genes code (produce proteins)</t>
  </si>
  <si>
    <t>It is totality of genetic information in an organism and consists of several genes.</t>
  </si>
  <si>
    <t>Totality of all genetic traits</t>
  </si>
  <si>
    <t>Singular of genome is gene.</t>
  </si>
  <si>
    <t>Human Genome Project decoded human DNA</t>
  </si>
  <si>
    <t>Male has XY chromosome</t>
  </si>
  <si>
    <t>Linked to DNA and determines more or less inheritance.</t>
  </si>
  <si>
    <t>But genetic material is only small part of DNA, because many elements considered unimportant at first glance are also present in DNA</t>
  </si>
  <si>
    <t>Totality of DNA of an organism</t>
  </si>
  <si>
    <t>22 identical pairs, only in male last is a Y.</t>
  </si>
  <si>
    <t>Cabbage has more pairs than human but smaller size.</t>
  </si>
  <si>
    <t>Additionally, configuration of human is encoded in it.</t>
  </si>
  <si>
    <t>Human has 23 chromosome pairs</t>
  </si>
  <si>
    <t>What is genome</t>
  </si>
  <si>
    <t>Totality of genes in an organism</t>
  </si>
  <si>
    <t>Cabbage</t>
  </si>
  <si>
    <t>23 genome pairs</t>
  </si>
  <si>
    <t>rDNA used for splitting.</t>
  </si>
  <si>
    <t>That cabbage (which one?) does not have genome with most base pairs</t>
  </si>
  <si>
    <t>Humans have 46 chromosomes, i.e., 23 chromosome pairs.</t>
  </si>
  <si>
    <t>The last chromosome pair is XY in biological males.</t>
  </si>
  <si>
    <t>Non-coding sections of DNA do not contain information for proteins but can perform other important functions.</t>
  </si>
  <si>
    <t>Humans have about 3 billion base pairs in the genome, not just 3 million.</t>
  </si>
  <si>
    <t>Genetic traits are already the result of genetic information (e.g., eye color, blood type). The genome is the entirety of genetic information that enables or encodes these traits. It is the blueprint, not the result.</t>
  </si>
  <si>
    <t>The genome is the totality of all genetic information of a cell. A gene is not the singular of genome but only one part of it.</t>
  </si>
  <si>
    <t>The hereditary material includes the coding sections of DNA.</t>
  </si>
  <si>
    <t>Homologous chromosomes are similar. They have the same structure and genes in the same positions, but are not identical because they may contain different variants of these genes.</t>
  </si>
  <si>
    <t>Cabbage has fewer base pairs (0.6 billion) than humans (3.3 billion) and therefore a smaller genome. However, cabbage has more than four times as many genes as humans.</t>
  </si>
  <si>
    <t>All genetically determined traits are encoded in the genome. The genome is the blueprint that determines the configuration—that is, the structure—of a human.</t>
  </si>
  <si>
    <t>Chromosome pairs, not genome pairs.</t>
  </si>
  <si>
    <t>rDNA does not appear in the video; it is involved in the formation of ribosomes.</t>
  </si>
  <si>
    <t>Definition of the genome</t>
  </si>
  <si>
    <t>Complexity and size</t>
  </si>
  <si>
    <t>Chromosome structure</t>
  </si>
  <si>
    <t>Gene function</t>
  </si>
  <si>
    <t>DNA coding</t>
  </si>
  <si>
    <t>First image in mind on the Genome for version K (KnowTI)</t>
  </si>
  <si>
    <t>First image in mind on the Genome  for version V (video only)</t>
  </si>
  <si>
    <t>Topics remembered on the Genome for version K (KnowTI)</t>
  </si>
  <si>
    <t>Topics remembered on the Genome for version V (video only)</t>
  </si>
  <si>
    <t>Application Areas</t>
  </si>
  <si>
    <t>Study Procedure</t>
  </si>
  <si>
    <t>Motivation and Understanding</t>
  </si>
  <si>
    <t>Preference</t>
  </si>
  <si>
    <t>Study Procedure and Application Areas</t>
  </si>
  <si>
    <t>Positive and Reflective</t>
  </si>
  <si>
    <t>Support Potential</t>
  </si>
  <si>
    <t>Risks and Consequences</t>
  </si>
  <si>
    <t>Indifferent or Dismissive</t>
  </si>
  <si>
    <t>Hype and Skepticism</t>
  </si>
  <si>
    <t>Application Weaknesses</t>
  </si>
  <si>
    <t>Critical Reflection</t>
  </si>
  <si>
    <t>Application Areas and Scenarios</t>
  </si>
  <si>
    <t>Usage and Benefit</t>
  </si>
  <si>
    <t>Risks and Weaknesses</t>
  </si>
  <si>
    <t>General Attitude</t>
  </si>
  <si>
    <t>Audio Track</t>
  </si>
  <si>
    <t>Video Graphics</t>
  </si>
  <si>
    <t>Synchronization</t>
  </si>
  <si>
    <t>Spoken Text</t>
  </si>
  <si>
    <t>Unclear</t>
  </si>
  <si>
    <t>Overlays</t>
  </si>
  <si>
    <t>Summary and Listing</t>
  </si>
  <si>
    <t>Questionnaires</t>
  </si>
  <si>
    <t>Information Processing</t>
  </si>
  <si>
    <t>None or Unclear</t>
  </si>
  <si>
    <t>Text Correction and Translation</t>
  </si>
  <si>
    <t>Knowledge Acquisition</t>
  </si>
  <si>
    <t>Regular Use (1–7 Times per Week)</t>
  </si>
  <si>
    <t>Code Understanding and Review</t>
  </si>
  <si>
    <t>Hardly Any Use</t>
  </si>
  <si>
    <t>Summary and Understanding</t>
  </si>
  <si>
    <t>Code Generation</t>
  </si>
  <si>
    <t>Everyday Questions and Tasks</t>
  </si>
  <si>
    <t>Text Creation</t>
  </si>
  <si>
    <t>Text Generation</t>
  </si>
  <si>
    <t>Creating Graphs and Plots</t>
  </si>
  <si>
    <t>Educational Context</t>
  </si>
  <si>
    <t>Writing Assistance</t>
  </si>
  <si>
    <t>Research and Brainstorming</t>
  </si>
  <si>
    <t>Usage Frequency</t>
  </si>
  <si>
    <t>Programming Support</t>
  </si>
  <si>
    <t>Image Generation</t>
  </si>
  <si>
    <t>Text and Language Support</t>
  </si>
  <si>
    <t>Creativity and Media</t>
  </si>
  <si>
    <t>Learning and Knowledge</t>
  </si>
  <si>
    <t>Everyday Use and Productivity</t>
  </si>
  <si>
    <t>Programming and Technical Tasks</t>
  </si>
  <si>
    <t>Research and Information Retrieval</t>
  </si>
  <si>
    <t>Critical Remarks or No Use</t>
  </si>
  <si>
    <t>Engagement and Motivation</t>
  </si>
  <si>
    <t>Clarity and Usability</t>
  </si>
  <si>
    <t>Structure and Comprehension</t>
  </si>
  <si>
    <t>Accessibility and Inclusivity</t>
  </si>
  <si>
    <t>Audio Intonation</t>
  </si>
  <si>
    <t>Pace and Pauses</t>
  </si>
  <si>
    <t>Information Density and Comprehensibility</t>
  </si>
  <si>
    <t>Structuring and Summarizing Content</t>
  </si>
  <si>
    <t>Presentation of Content</t>
  </si>
  <si>
    <t>Improve Information Flow</t>
  </si>
  <si>
    <t>Usability and Structuring</t>
  </si>
  <si>
    <t>Learning Pace and Information Density</t>
  </si>
  <si>
    <t>Illustrate Possible Interaction</t>
  </si>
  <si>
    <t>Improve Content Presentation</t>
  </si>
  <si>
    <t>Content Clarity</t>
  </si>
  <si>
    <t>More Interaction Desired</t>
  </si>
  <si>
    <t>Individualization of Pace and Information Density</t>
  </si>
  <si>
    <t>Improve Content Clarity</t>
  </si>
  <si>
    <t>Clarity of Presented Content</t>
  </si>
  <si>
    <t>Usability and Interactivity</t>
  </si>
  <si>
    <t>Information Design and Clarity</t>
  </si>
  <si>
    <t>Interruption and Information Flow</t>
  </si>
  <si>
    <t>Interface and Navigation</t>
  </si>
  <si>
    <t>Content and Instructional Quality</t>
  </si>
  <si>
    <t>Pacing and Cognitive Load</t>
  </si>
  <si>
    <t>Manageable Topics</t>
  </si>
  <si>
    <t>Individual Learning</t>
  </si>
  <si>
    <t>Overview and Review</t>
  </si>
  <si>
    <t>Missing or Deviating Interaction Options</t>
  </si>
  <si>
    <t>Manageable Topics and Overview</t>
  </si>
  <si>
    <t>Entertainment and Individual Learning</t>
  </si>
  <si>
    <t>Diverse</t>
  </si>
  <si>
    <t>Natural Sciences</t>
  </si>
  <si>
    <t>Engineering / Technical Sciences</t>
  </si>
  <si>
    <t>Understanding Support</t>
  </si>
  <si>
    <t>Online Teaching</t>
  </si>
  <si>
    <t>Natural Sciences (+ Law)</t>
  </si>
  <si>
    <t>Exhibitions and Museums</t>
  </si>
  <si>
    <t>Natural Sciences (+ Social Sciences)</t>
  </si>
  <si>
    <t>Children and Adults</t>
  </si>
  <si>
    <t>Learning Objectives</t>
  </si>
  <si>
    <t>Learning Formats</t>
  </si>
  <si>
    <t>Target Groups</t>
  </si>
  <si>
    <t>Professional Areas</t>
  </si>
  <si>
    <t>Learning Goals</t>
  </si>
  <si>
    <t>Professional Application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</si>
</sst>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charset val="1"/>
    </font>
    <font>
      <b/>
      <sz val="24"/>
      <color theme="1"/>
      <name val="Aptos Narrow"/>
      <family val="2"/>
      <charset val="1"/>
    </font>
    <font>
      <b/>
      <sz val="11"/>
      <color theme="1"/>
      <name val="Aptos Narrow"/>
      <family val="2"/>
      <charset val="1"/>
    </font>
    <font>
      <b/>
      <sz val="16"/>
      <color theme="1"/>
      <name val="Aptos Narrow"/>
      <family val="2"/>
      <charset val="1"/>
    </font>
    <font>
      <b/>
      <sz val="11"/>
      <color theme="1"/>
      <name val="Aptos Narrow"/>
      <family val="2"/>
    </font>
    <font>
      <sz val="11"/>
      <name val="Aptos Narrow"/>
      <family val="2"/>
      <charset val="1"/>
    </font>
    <font>
      <sz val="11"/>
      <name val="Aptos"/>
      <family val="2"/>
      <charset val="1"/>
    </font>
    <font>
      <b/>
      <sz val="20"/>
      <color theme="0"/>
      <name val="Aptos Narrow"/>
      <family val="2"/>
    </font>
    <font>
      <b/>
      <sz val="14"/>
      <name val="Aptos"/>
      <family val="2"/>
      <charset val="1"/>
    </font>
    <font>
      <b/>
      <sz val="14"/>
      <name val="Aptos Narrow"/>
      <family val="2"/>
      <scheme val="minor"/>
    </font>
    <font>
      <b/>
      <sz val="16"/>
      <color theme="0"/>
      <name val="Aptos Narrow"/>
      <family val="2"/>
    </font>
    <font>
      <b/>
      <sz val="14"/>
      <name val="Aptos Narrow"/>
      <family val="2"/>
    </font>
    <font>
      <b/>
      <sz val="11"/>
      <name val="Aptos Narrow"/>
      <family val="2"/>
    </font>
    <font>
      <sz val="11"/>
      <name val="Aptos Narrow"/>
      <family val="2"/>
    </font>
    <font>
      <b/>
      <sz val="12"/>
      <name val="Aptos"/>
      <family val="2"/>
      <charset val="1"/>
    </font>
    <font>
      <i/>
      <sz val="11"/>
      <name val="Aptos Narrow"/>
      <family val="2"/>
    </font>
    <font>
      <sz val="8"/>
      <name val="Aptos Narrow"/>
      <family val="2"/>
      <charset val="1"/>
    </font>
  </fonts>
  <fills count="23">
    <fill>
      <patternFill patternType="none"/>
    </fill>
    <fill>
      <patternFill patternType="gray125"/>
    </fill>
    <fill>
      <patternFill patternType="solid">
        <fgColor rgb="FFFFC9C9"/>
        <bgColor rgb="FFFBE3D6"/>
      </patternFill>
    </fill>
    <fill>
      <patternFill patternType="solid">
        <fgColor theme="9" tint="0.79989013336588644"/>
        <bgColor rgb="FFC2F1C8"/>
      </patternFill>
    </fill>
    <fill>
      <patternFill patternType="solid">
        <fgColor theme="5" tint="0.79989013336588644"/>
        <bgColor rgb="FFD9D9D9"/>
      </patternFill>
    </fill>
    <fill>
      <patternFill patternType="solid">
        <fgColor theme="0"/>
        <bgColor rgb="FFDCEAF7"/>
      </patternFill>
    </fill>
    <fill>
      <patternFill patternType="solid">
        <fgColor rgb="FFDECBE4"/>
        <bgColor indexed="64"/>
      </patternFill>
    </fill>
    <fill>
      <patternFill patternType="solid">
        <fgColor rgb="FFB3CDE3"/>
        <bgColor indexed="64"/>
      </patternFill>
    </fill>
    <fill>
      <patternFill patternType="solid">
        <fgColor rgb="FF3F7AAB"/>
        <bgColor indexed="64"/>
      </patternFill>
    </fill>
    <fill>
      <patternFill patternType="solid">
        <fgColor rgb="FF9255A5"/>
        <bgColor indexed="64"/>
      </patternFill>
    </fill>
    <fill>
      <patternFill patternType="solid">
        <fgColor theme="0" tint="-4.9989318521683403E-2"/>
        <bgColor indexed="64"/>
      </patternFill>
    </fill>
    <fill>
      <patternFill patternType="solid">
        <fgColor rgb="FFCCEBC5"/>
        <bgColor indexed="64"/>
      </patternFill>
    </fill>
    <fill>
      <patternFill patternType="solid">
        <fgColor rgb="FF4B9F37"/>
        <bgColor indexed="64"/>
      </patternFill>
    </fill>
    <fill>
      <patternFill patternType="solid">
        <fgColor rgb="FF76C963"/>
        <bgColor indexed="64"/>
      </patternFill>
    </fill>
    <fill>
      <patternFill patternType="solid">
        <fgColor rgb="FF78A7CE"/>
        <bgColor indexed="64"/>
      </patternFill>
    </fill>
    <fill>
      <patternFill patternType="solid">
        <fgColor rgb="FFB990C6"/>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9ED890"/>
        <bgColor indexed="64"/>
      </patternFill>
    </fill>
    <fill>
      <patternFill patternType="solid">
        <fgColor rgb="FF95B9D7"/>
        <bgColor indexed="64"/>
      </patternFill>
    </fill>
    <fill>
      <patternFill patternType="solid">
        <fgColor rgb="FFC9A9D3"/>
        <bgColor rgb="FFC0C0C0"/>
      </patternFill>
    </fill>
    <fill>
      <patternFill patternType="solid">
        <fgColor theme="0" tint="-4.9989318521683403E-2"/>
        <bgColor rgb="FFC0C0C0"/>
      </patternFill>
    </fill>
    <fill>
      <patternFill patternType="solid">
        <fgColor theme="0" tint="-0.34998626667073579"/>
        <bgColor indexed="64"/>
      </patternFill>
    </fill>
  </fills>
  <borders count="3">
    <border>
      <left/>
      <right/>
      <top/>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68">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5" fillId="6" borderId="0" xfId="0" applyFont="1" applyFill="1"/>
    <xf numFmtId="0" fontId="6" fillId="6" borderId="0" xfId="0" applyFont="1" applyFill="1"/>
    <xf numFmtId="0" fontId="5" fillId="7" borderId="0" xfId="0" applyFont="1" applyFill="1"/>
    <xf numFmtId="0" fontId="5" fillId="10" borderId="0" xfId="0" applyFont="1" applyFill="1"/>
    <xf numFmtId="0" fontId="5" fillId="11" borderId="0" xfId="0" applyFont="1" applyFill="1"/>
    <xf numFmtId="0" fontId="11" fillId="14" borderId="0" xfId="0" applyFont="1" applyFill="1"/>
    <xf numFmtId="0" fontId="8" fillId="15" borderId="0" xfId="0" applyFont="1" applyFill="1"/>
    <xf numFmtId="0" fontId="8" fillId="16" borderId="0" xfId="0" applyFont="1" applyFill="1"/>
    <xf numFmtId="0" fontId="11" fillId="13" borderId="0" xfId="0" applyFont="1" applyFill="1"/>
    <xf numFmtId="0" fontId="10" fillId="12" borderId="0" xfId="0" applyFont="1" applyFill="1" applyAlignment="1">
      <alignment horizontal="left"/>
    </xf>
    <xf numFmtId="0" fontId="5" fillId="18" borderId="0" xfId="0" applyFont="1" applyFill="1"/>
    <xf numFmtId="0" fontId="12" fillId="11" borderId="1" xfId="0" applyFont="1" applyFill="1" applyBorder="1"/>
    <xf numFmtId="0" fontId="13" fillId="11" borderId="1" xfId="0" applyFont="1" applyFill="1" applyBorder="1"/>
    <xf numFmtId="0" fontId="9" fillId="14" borderId="0" xfId="0" applyFont="1" applyFill="1"/>
    <xf numFmtId="0" fontId="12" fillId="6" borderId="1" xfId="0" applyFont="1" applyFill="1" applyBorder="1"/>
    <xf numFmtId="0" fontId="13" fillId="6" borderId="1" xfId="0" applyFont="1" applyFill="1" applyBorder="1"/>
    <xf numFmtId="0" fontId="9" fillId="15" borderId="0" xfId="0" applyFont="1" applyFill="1"/>
    <xf numFmtId="0" fontId="9" fillId="15" borderId="0" xfId="0" applyFont="1" applyFill="1" applyAlignment="1">
      <alignment horizontal="left"/>
    </xf>
    <xf numFmtId="0" fontId="12" fillId="7" borderId="1" xfId="0" applyFont="1" applyFill="1" applyBorder="1"/>
    <xf numFmtId="0" fontId="13" fillId="7" borderId="1" xfId="0" applyFont="1" applyFill="1" applyBorder="1"/>
    <xf numFmtId="0" fontId="5" fillId="19" borderId="0" xfId="0" applyFont="1" applyFill="1"/>
    <xf numFmtId="0" fontId="0" fillId="20" borderId="0" xfId="0" applyFill="1"/>
    <xf numFmtId="0" fontId="7" fillId="12" borderId="0" xfId="0" applyFont="1" applyFill="1" applyAlignment="1">
      <alignment horizontal="center"/>
    </xf>
    <xf numFmtId="0" fontId="5" fillId="17" borderId="0" xfId="0" applyFont="1" applyFill="1"/>
    <xf numFmtId="0" fontId="0" fillId="10" borderId="0" xfId="0" applyFill="1"/>
    <xf numFmtId="0" fontId="10" fillId="10" borderId="0" xfId="0" applyFont="1" applyFill="1" applyAlignment="1">
      <alignment horizontal="left"/>
    </xf>
    <xf numFmtId="0" fontId="11" fillId="10" borderId="0" xfId="0" applyFont="1" applyFill="1"/>
    <xf numFmtId="0" fontId="13" fillId="10" borderId="0" xfId="0" applyFont="1" applyFill="1"/>
    <xf numFmtId="0" fontId="9" fillId="10" borderId="0" xfId="0" applyFont="1" applyFill="1"/>
    <xf numFmtId="0" fontId="0" fillId="21" borderId="0" xfId="0" applyFill="1"/>
    <xf numFmtId="0" fontId="10" fillId="8" borderId="0" xfId="0" applyFont="1" applyFill="1" applyAlignment="1">
      <alignment horizontal="left"/>
    </xf>
    <xf numFmtId="0" fontId="1" fillId="10" borderId="0" xfId="0" applyFont="1" applyFill="1" applyAlignment="1">
      <alignment vertical="top"/>
    </xf>
    <xf numFmtId="0" fontId="5" fillId="20" borderId="0" xfId="0" applyFont="1" applyFill="1"/>
    <xf numFmtId="0" fontId="5" fillId="16" borderId="0" xfId="0" applyFont="1" applyFill="1" applyAlignment="1">
      <alignment horizontal="center"/>
    </xf>
    <xf numFmtId="0" fontId="5" fillId="16" borderId="0" xfId="0" applyFont="1" applyFill="1"/>
    <xf numFmtId="0" fontId="5" fillId="6" borderId="0" xfId="0" applyFont="1" applyFill="1" applyAlignment="1">
      <alignment wrapText="1"/>
    </xf>
    <xf numFmtId="0" fontId="5" fillId="7" borderId="0" xfId="0" applyFont="1" applyFill="1" applyAlignment="1">
      <alignment wrapText="1"/>
    </xf>
    <xf numFmtId="0" fontId="5" fillId="11" borderId="0" xfId="0" applyFont="1" applyFill="1" applyAlignment="1">
      <alignment wrapText="1"/>
    </xf>
    <xf numFmtId="0" fontId="0" fillId="10" borderId="0" xfId="0" applyFill="1" applyAlignment="1">
      <alignment wrapText="1"/>
    </xf>
    <xf numFmtId="0" fontId="5" fillId="18" borderId="0" xfId="0" applyFont="1" applyFill="1" applyAlignment="1">
      <alignment wrapText="1"/>
    </xf>
    <xf numFmtId="0" fontId="5" fillId="10" borderId="0" xfId="0" applyFont="1" applyFill="1" applyAlignment="1">
      <alignment wrapText="1"/>
    </xf>
    <xf numFmtId="0" fontId="0" fillId="0" borderId="0" xfId="0" applyAlignment="1">
      <alignment wrapText="1"/>
    </xf>
    <xf numFmtId="0" fontId="15" fillId="7" borderId="0" xfId="0" applyFont="1" applyFill="1"/>
    <xf numFmtId="0" fontId="5" fillId="0" borderId="0" xfId="0" applyFont="1"/>
    <xf numFmtId="0" fontId="0" fillId="0" borderId="0" xfId="0" applyAlignment="1">
      <alignment horizontal="center"/>
    </xf>
    <xf numFmtId="0" fontId="5" fillId="18" borderId="2" xfId="0" applyFont="1" applyFill="1" applyBorder="1" applyAlignment="1">
      <alignment wrapText="1"/>
    </xf>
    <xf numFmtId="0" fontId="12" fillId="11" borderId="2" xfId="0" applyFont="1" applyFill="1" applyBorder="1" applyAlignment="1">
      <alignment wrapText="1"/>
    </xf>
    <xf numFmtId="0" fontId="3" fillId="10" borderId="0" xfId="0" applyFont="1" applyFill="1"/>
    <xf numFmtId="0" fontId="12" fillId="10" borderId="0" xfId="0" applyFont="1" applyFill="1"/>
    <xf numFmtId="0" fontId="4" fillId="11" borderId="2" xfId="0" applyFont="1" applyFill="1" applyBorder="1" applyAlignment="1">
      <alignment wrapText="1"/>
    </xf>
    <xf numFmtId="0" fontId="5" fillId="17" borderId="0" xfId="0" applyFont="1" applyFill="1" applyAlignment="1">
      <alignment wrapText="1"/>
    </xf>
    <xf numFmtId="0" fontId="12" fillId="17" borderId="2" xfId="0" applyFont="1" applyFill="1" applyBorder="1" applyAlignment="1">
      <alignment wrapText="1"/>
    </xf>
    <xf numFmtId="0" fontId="5" fillId="16" borderId="2" xfId="0" applyFont="1" applyFill="1" applyBorder="1" applyAlignment="1">
      <alignment wrapText="1"/>
    </xf>
    <xf numFmtId="0" fontId="4" fillId="17" borderId="2" xfId="0" applyFont="1" applyFill="1" applyBorder="1" applyAlignment="1">
      <alignment wrapText="1"/>
    </xf>
    <xf numFmtId="0" fontId="5" fillId="11" borderId="0" xfId="0" applyFont="1" applyFill="1" applyAlignment="1">
      <alignment horizontal="left"/>
    </xf>
    <xf numFmtId="0" fontId="7" fillId="9" borderId="0" xfId="0" applyFont="1" applyFill="1" applyAlignment="1">
      <alignment horizontal="center"/>
    </xf>
    <xf numFmtId="0" fontId="7" fillId="8" borderId="0" xfId="0" applyFont="1" applyFill="1" applyAlignment="1">
      <alignment horizontal="center"/>
    </xf>
    <xf numFmtId="0" fontId="10" fillId="9" borderId="0" xfId="0" applyFont="1" applyFill="1" applyAlignment="1">
      <alignment horizontal="left"/>
    </xf>
    <xf numFmtId="0" fontId="10" fillId="8" borderId="0" xfId="0" applyFont="1" applyFill="1" applyAlignment="1">
      <alignment horizontal="left"/>
    </xf>
    <xf numFmtId="0" fontId="14" fillId="22" borderId="0" xfId="0" applyFont="1" applyFill="1" applyAlignment="1">
      <alignment horizontal="center" vertical="center" wrapText="1"/>
    </xf>
    <xf numFmtId="0" fontId="0" fillId="0" borderId="0" xfId="0" applyFill="1"/>
    <xf numFmtId="0" fontId="4" fillId="0" borderId="0" xfId="0" applyFont="1" applyFill="1"/>
  </cellXfs>
  <cellStyles count="1">
    <cellStyle name="Standard" xfId="0" builtinId="0"/>
  </cellStyles>
  <dxfs count="454">
    <dxf>
      <font>
        <b val="0"/>
        <i val="0"/>
        <strike val="0"/>
        <condense val="0"/>
        <extend val="0"/>
        <outline val="0"/>
        <shadow val="0"/>
        <u val="none"/>
        <vertAlign val="baseline"/>
        <sz val="11"/>
        <color auto="1"/>
        <name val="Aptos Narrow"/>
        <family val="2"/>
        <charset val="1"/>
        <scheme val="none"/>
      </font>
      <fill>
        <patternFill patternType="solid">
          <fgColor indexed="64"/>
          <bgColor theme="0" tint="-0.249977111117893"/>
        </patternFill>
      </fill>
      <alignment horizontal="general" vertical="bottom"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249977111117893"/>
        </patternFill>
      </fill>
    </dxf>
    <dxf>
      <font>
        <b/>
        <i val="0"/>
        <strike val="0"/>
        <condense val="0"/>
        <extend val="0"/>
        <outline val="0"/>
        <shadow val="0"/>
        <u val="none"/>
        <vertAlign val="baseline"/>
        <sz val="11"/>
        <color auto="1"/>
        <name val="Aptos Narrow"/>
        <family val="2"/>
        <scheme val="none"/>
      </font>
      <fill>
        <patternFill patternType="solid">
          <fgColor indexed="64"/>
          <bgColor theme="0" tint="-0.14999847407452621"/>
        </patternFill>
      </fill>
      <alignment horizontal="general" vertical="bottom"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alignment horizontal="general" vertical="bottom" textRotation="0" wrapText="1" indent="0" justifyLastLine="0" shrinkToFit="0" readingOrder="0"/>
    </dxf>
    <dxf>
      <border outline="0">
        <top style="thin">
          <color indexed="64"/>
        </top>
      </border>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ill>
        <patternFill patternType="solid">
          <fgColor rgb="FFC2F1C8"/>
          <bgColor theme="9" tint="0.79989013336588644"/>
        </patternFill>
      </fill>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ill>
        <patternFill patternType="solid">
          <fgColor rgb="FFC2F1C8"/>
          <bgColor theme="9" tint="0.79989013336588644"/>
        </patternFill>
      </fill>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249977111117893"/>
        </patternFill>
      </fill>
      <alignment horizontal="general" vertical="bottom"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249977111117893"/>
        </patternFill>
      </fill>
    </dxf>
    <dxf>
      <font>
        <b/>
        <i val="0"/>
        <strike val="0"/>
        <condense val="0"/>
        <extend val="0"/>
        <outline val="0"/>
        <shadow val="0"/>
        <u val="none"/>
        <vertAlign val="baseline"/>
        <sz val="11"/>
        <color theme="1"/>
        <name val="Aptos Narrow"/>
        <family val="2"/>
        <scheme val="none"/>
      </font>
      <fill>
        <patternFill patternType="solid">
          <fgColor indexed="64"/>
          <bgColor theme="0" tint="-0.14999847407452621"/>
        </patternFill>
      </fill>
      <alignment horizontal="general" vertical="bottom"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alignment horizontal="general" vertical="bottom" textRotation="0" wrapText="1" indent="0" justifyLastLine="0" shrinkToFit="0" readingOrder="0"/>
    </dxf>
    <dxf>
      <border outline="0">
        <top style="thin">
          <color indexed="64"/>
        </top>
      </border>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ill>
        <patternFill patternType="solid">
          <fgColor rgb="FFC2F1C8"/>
          <bgColor theme="9" tint="0.79989013336588644"/>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249977111117893"/>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sz val="10"/>
        <color auto="1"/>
        <name val="Arial Unicode MS"/>
        <charset val="1"/>
      </font>
      <fill>
        <patternFill patternType="solid">
          <fgColor indexed="64"/>
          <bgColor theme="0" tint="-0.14999847407452621"/>
        </patternFill>
      </fill>
      <alignment horizontal="general" vertical="center" textRotation="0" wrapText="0" indent="0" justifyLastLine="0" shrinkToFit="0" readingOrder="0"/>
    </dxf>
    <dxf>
      <font>
        <sz val="10"/>
        <color auto="1"/>
        <name val="Arial Unicode MS"/>
        <charset val="1"/>
      </font>
      <fill>
        <patternFill patternType="solid">
          <fgColor indexed="64"/>
          <bgColor theme="0" tint="-0.1499984740745262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ill>
        <patternFill patternType="solid">
          <fgColor rgb="FFC2F1C8"/>
          <bgColor theme="9" tint="0.79989013336588644"/>
        </patternFill>
      </fill>
    </dxf>
    <dxf>
      <font>
        <b val="0"/>
        <i val="0"/>
        <strike val="0"/>
        <condense val="0"/>
        <extend val="0"/>
        <outline val="0"/>
        <shadow val="0"/>
        <u val="none"/>
        <vertAlign val="baseline"/>
        <sz val="11"/>
        <color auto="1"/>
        <name val="Aptos Narrow"/>
        <family val="2"/>
        <charset val="1"/>
        <scheme val="none"/>
      </font>
      <fill>
        <patternFill patternType="solid">
          <fgColor rgb="FFC2F1C8"/>
          <bgColor theme="9" tint="0.79989013336588644"/>
        </patternFill>
      </fill>
    </dxf>
    <dxf>
      <font>
        <b/>
        <i val="0"/>
        <strike val="0"/>
        <condense val="0"/>
        <extend val="0"/>
        <outline val="0"/>
        <shadow val="0"/>
        <u val="none"/>
        <vertAlign val="baseline"/>
        <sz val="14"/>
        <color auto="1"/>
        <name val="Aptos"/>
        <family val="2"/>
        <charset val="1"/>
        <scheme val="none"/>
      </font>
      <fill>
        <patternFill patternType="solid">
          <fgColor indexed="64"/>
          <bgColor theme="0" tint="-0.24997711111789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9ED890"/>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9ED890"/>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9ED890"/>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9ED890"/>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alignment horizontal="general" vertical="bottom" textRotation="0" wrapText="1" indent="0" justifyLastLine="0" shrinkToFit="0" readingOrder="0"/>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CCEBC5"/>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theme="0" tint="-0.14999847407452621"/>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DECBE4"/>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fill>
        <patternFill patternType="solid">
          <fgColor indexed="64"/>
          <bgColor rgb="FF9ED890"/>
        </patternFill>
      </fill>
      <alignment horizontal="general" vertical="bottom" textRotation="0" wrapText="1" indent="0" justifyLastLine="0" shrinkToFit="0" readingOrder="0"/>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alignment horizontal="center" vertical="bottom" textRotation="0" wrapText="0" indent="0" justifyLastLine="0" shrinkToFit="0" readingOrder="0"/>
    </dxf>
    <dxf>
      <font>
        <strike val="0"/>
        <outline val="0"/>
        <shadow val="0"/>
        <u val="none"/>
        <vertAlign val="baseline"/>
        <color auto="1"/>
      </font>
      <fill>
        <patternFill patternType="solid">
          <fgColor indexed="64"/>
          <bgColor rgb="FFCCEBC5"/>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DECBE4"/>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fill>
        <patternFill patternType="solid">
          <fgColor indexed="64"/>
          <bgColor rgb="FF9ED890"/>
        </patternFill>
      </fill>
      <alignment horizontal="general" vertical="bottom" textRotation="0" wrapText="1" indent="0" justifyLastLine="0" shrinkToFit="0" readingOrder="0"/>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alignment horizontal="center" vertical="bottom" textRotation="0" wrapText="0" indent="0" justifyLastLine="0" shrinkToFit="0" readingOrder="0"/>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alignment horizontal="general" vertical="bottom" textRotation="0" wrapText="1" indent="0" justifyLastLine="0" shrinkToFit="0" readingOrder="0"/>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alignment horizontal="center" vertical="bottom" textRotation="0" wrapText="0" indent="0" justifyLastLine="0" shrinkToFit="0" readingOrder="0"/>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alignment horizontal="left" vertical="bottom" textRotation="0" wrapText="0" indent="0" justifyLastLine="0" shrinkToFit="0" readingOrder="0"/>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fill>
        <patternFill patternType="solid">
          <fgColor indexed="64"/>
          <bgColor rgb="FF9ED890"/>
        </patternFill>
      </fill>
      <alignment horizontal="general" vertical="bottom" textRotation="0" wrapText="1" indent="0" justifyLastLine="0" shrinkToFit="0" readingOrder="0"/>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DECBE4"/>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b val="0"/>
        <i val="0"/>
        <strike val="0"/>
        <condense val="0"/>
        <extend val="0"/>
        <outline val="0"/>
        <shadow val="0"/>
        <u val="none"/>
        <vertAlign val="baseline"/>
        <sz val="11"/>
        <color auto="1"/>
        <name val="Aptos Narrow"/>
        <family val="2"/>
        <charset val="1"/>
        <scheme val="none"/>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
      <font>
        <strike val="0"/>
        <outline val="0"/>
        <shadow val="0"/>
        <u val="none"/>
        <vertAlign val="baseline"/>
        <color auto="1"/>
      </font>
      <fill>
        <patternFill patternType="solid">
          <fgColor indexed="64"/>
          <bgColor rgb="FFCCEBC5"/>
        </patternFill>
      </fill>
      <alignment horizontal="center" vertical="bottom" textRotation="0" wrapText="0" indent="0" justifyLastLine="0" shrinkToFit="0" readingOrder="0"/>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B3CDE3"/>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fill>
        <patternFill patternType="solid">
          <fgColor indexed="64"/>
          <bgColor rgb="FFDECBE4"/>
        </patternFill>
      </fill>
    </dxf>
    <dxf>
      <font>
        <strike val="0"/>
        <outline val="0"/>
        <shadow val="0"/>
        <u val="none"/>
        <vertAlign val="baseline"/>
        <color auto="1"/>
      </font>
    </dxf>
    <dxf>
      <font>
        <strike val="0"/>
        <outline val="0"/>
        <shadow val="0"/>
        <u val="none"/>
        <vertAlign val="baseline"/>
        <sz val="14"/>
        <color auto="1"/>
      </font>
    </dxf>
    <dxf>
      <font>
        <b val="0"/>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color auto="1"/>
      </font>
      <fill>
        <patternFill patternType="solid">
          <fgColor indexed="64"/>
          <bgColor rgb="FF95B9D7"/>
        </patternFill>
      </fill>
    </dxf>
    <dxf>
      <font>
        <b/>
        <i val="0"/>
        <strike val="0"/>
        <condense val="0"/>
        <extend val="0"/>
        <outline val="0"/>
        <shadow val="0"/>
        <u val="none"/>
        <vertAlign val="baseline"/>
        <sz val="11"/>
        <color auto="1"/>
        <name val="Aptos Narrow"/>
        <family val="2"/>
        <scheme val="none"/>
      </font>
      <fill>
        <patternFill patternType="solid">
          <fgColor indexed="64"/>
          <bgColor rgb="FFB3CDE3"/>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B3CDE3"/>
        </patternFill>
      </fill>
    </dxf>
    <dxf>
      <border outline="0">
        <top style="thin">
          <color rgb="FF000000"/>
        </top>
      </border>
    </dxf>
    <dxf>
      <fill>
        <patternFill patternType="solid">
          <fgColor rgb="FF000000"/>
          <bgColor rgb="FFB3CDE3"/>
        </patternFill>
      </fill>
    </dxf>
    <dxf>
      <font>
        <b/>
        <i val="0"/>
        <strike val="0"/>
        <condense val="0"/>
        <extend val="0"/>
        <outline val="0"/>
        <shadow val="0"/>
        <u val="none"/>
        <vertAlign val="baseline"/>
        <sz val="14"/>
        <color auto="1"/>
        <name val="Aptos Narrow"/>
        <family val="2"/>
        <scheme val="minor"/>
      </font>
      <fill>
        <patternFill patternType="solid">
          <fgColor indexed="64"/>
          <bgColor rgb="FF78A7CE"/>
        </patternFill>
      </fill>
    </dxf>
    <dxf>
      <font>
        <b val="0"/>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color auto="1"/>
      </font>
      <fill>
        <patternFill patternType="solid">
          <fgColor rgb="FFC0C0C0"/>
          <bgColor rgb="FFC9A9D3"/>
        </patternFill>
      </fill>
    </dxf>
    <dxf>
      <font>
        <b/>
        <i val="0"/>
        <strike val="0"/>
        <condense val="0"/>
        <extend val="0"/>
        <outline val="0"/>
        <shadow val="0"/>
        <u val="none"/>
        <vertAlign val="baseline"/>
        <sz val="11"/>
        <color auto="1"/>
        <name val="Aptos Narrow"/>
        <family val="2"/>
        <scheme val="none"/>
      </font>
      <fill>
        <patternFill patternType="solid">
          <fgColor indexed="64"/>
          <bgColor rgb="FFDECBE4"/>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ptos Narrow"/>
        <family val="2"/>
        <charset val="1"/>
        <scheme val="none"/>
      </font>
      <numFmt numFmtId="0" formatCode="General"/>
      <fill>
        <patternFill patternType="solid">
          <fgColor indexed="64"/>
          <bgColor rgb="FFDECBE4"/>
        </patternFill>
      </fill>
    </dxf>
    <dxf>
      <border outline="0">
        <top style="thin">
          <color rgb="FF000000"/>
        </top>
      </border>
    </dxf>
    <dxf>
      <fill>
        <patternFill patternType="solid">
          <fgColor rgb="FF000000"/>
          <bgColor rgb="FFDECBE4"/>
        </patternFill>
      </fill>
    </dxf>
    <dxf>
      <font>
        <b/>
        <i val="0"/>
        <strike val="0"/>
        <condense val="0"/>
        <extend val="0"/>
        <outline val="0"/>
        <shadow val="0"/>
        <u val="none"/>
        <vertAlign val="baseline"/>
        <sz val="14"/>
        <color auto="1"/>
        <name val="Aptos Narrow"/>
        <family val="2"/>
        <scheme val="minor"/>
      </font>
      <fill>
        <patternFill patternType="solid">
          <fgColor indexed="64"/>
          <bgColor rgb="FFB990C6"/>
        </patternFill>
      </fill>
    </dxf>
    <dxf>
      <font>
        <b val="0"/>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font>
        <b/>
        <i val="0"/>
        <strike val="0"/>
        <condense val="0"/>
        <extend val="0"/>
        <outline val="0"/>
        <shadow val="0"/>
        <u val="none"/>
        <vertAlign val="baseline"/>
        <sz val="11"/>
        <color auto="1"/>
        <name val="Aptos Narrow"/>
        <family val="2"/>
        <scheme val="none"/>
      </font>
      <fill>
        <patternFill patternType="solid">
          <fgColor indexed="64"/>
          <bgColor rgb="FFCCEBC5"/>
        </patternFill>
      </fill>
      <border diagonalUp="0" diagonalDown="0" outline="0">
        <left/>
        <right/>
        <top style="thin">
          <color indexed="64"/>
        </top>
        <bottom style="thin">
          <color indexed="64"/>
        </bottom>
      </border>
    </dxf>
    <dxf>
      <border>
        <top style="thin">
          <color rgb="FF000000"/>
        </top>
      </border>
    </dxf>
    <dxf>
      <font>
        <strike val="0"/>
        <outline val="0"/>
        <shadow val="0"/>
        <u val="none"/>
        <vertAlign val="baseline"/>
        <sz val="11"/>
        <color auto="1"/>
        <name val="Aptos Narrow"/>
        <family val="2"/>
        <scheme val="none"/>
      </font>
      <fill>
        <patternFill patternType="solid">
          <fgColor rgb="FF000000"/>
          <bgColor rgb="FFCCEBC5"/>
        </patternFill>
      </fill>
    </dxf>
    <dxf>
      <font>
        <b/>
        <i val="0"/>
        <strike val="0"/>
        <condense val="0"/>
        <extend val="0"/>
        <outline val="0"/>
        <shadow val="0"/>
        <u val="none"/>
        <vertAlign val="baseline"/>
        <sz val="14"/>
        <color auto="1"/>
        <name val="Aptos Narrow"/>
        <family val="2"/>
        <scheme val="none"/>
      </font>
      <fill>
        <patternFill patternType="solid">
          <fgColor indexed="64"/>
          <bgColor rgb="FF76C96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808080"/>
      <rgbColor rgb="FF9999FF"/>
      <rgbColor rgb="FF993366"/>
      <rgbColor rgb="FFFBE3D6"/>
      <rgbColor rgb="FFDC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F2D0"/>
      <rgbColor rgb="FFC2F1C8"/>
      <rgbColor rgb="FFFFFF99"/>
      <rgbColor rgb="FFA6CAEC"/>
      <rgbColor rgb="FFFF99CC"/>
      <rgbColor rgb="FFCC99FF"/>
      <rgbColor rgb="FFFFC9C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9A9D3"/>
      <color rgb="FF95B9D7"/>
      <color rgb="FFA3C3DD"/>
      <color rgb="FFB3CDE3"/>
      <color rgb="FFC6A4D0"/>
      <color rgb="FFC4A1CF"/>
      <color rgb="FFCEB1D7"/>
      <color rgb="FFD7C0DE"/>
      <color rgb="FFDECBE4"/>
      <color rgb="FFB990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619ED67-870F-4B5D-B5E4-1FFC72521BC0}" name="Tabelle10951" displayName="Tabelle10951" ref="I3:J9" totalsRowCount="1" headerRowDxfId="453" totalsRowDxfId="452" totalsRowBorderDxfId="451">
  <autoFilter ref="I3:J8" xr:uid="{EA8EA7FD-277A-4614-8C02-B2A2B3FBAC73}"/>
  <tableColumns count="2">
    <tableColumn id="1" xr3:uid="{845F74BD-B80C-4C19-B82C-54391074F855}" name="Mentions" totalsRowFunction="custom" totalsRowDxfId="450">
      <calculatedColumnFormula>COUNTIF(Tabelle1226[[#All],[Merged Theme]],Tabelle10951[[#This Row],[Merged Theme]])</calculatedColumnFormula>
      <totalsRowFormula>SUM(Tabelle10951[Mentions])</totalsRowFormula>
    </tableColumn>
    <tableColumn id="2" xr3:uid="{DCF258DF-FA0E-41D5-ABC5-6F6D319FD7E0}" name="Merged Theme" totalsRowDxfId="44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F04C682-5106-44F7-A48B-66939FEDD647}" name="Tabelle10911152" displayName="Tabelle10911152" ref="I13:J24" totalsRowCount="1" headerRowDxfId="448" totalsRowDxfId="447" totalsRowBorderDxfId="446">
  <autoFilter ref="I13:J23" xr:uid="{C8AA4907-FA56-42AA-9291-AF2DF0B95325}"/>
  <tableColumns count="2">
    <tableColumn id="1" xr3:uid="{1FC9D3E4-9619-4764-8C4F-793EFF85E309}" name="Mentions" totalsRowFunction="custom" dataDxfId="445" totalsRowDxfId="444">
      <calculatedColumnFormula>COUNTIF(Tabelle1226[A - Theme],Tabelle10911152[[#This Row],[Theme]])</calculatedColumnFormula>
      <totalsRowFormula>SUM(Tabelle10911152[Mentions])</totalsRowFormula>
    </tableColumn>
    <tableColumn id="2" xr3:uid="{CA8DCE96-8970-45D5-A4B3-A0FD32E3B27B}" name="Theme" dataDxfId="443" totalsRowDxfId="44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E7F95FE3-4E54-4716-8E69-7535E4B7E3B6}" name="Tabelle10911111258" displayName="Tabelle10911111258" ref="I28:J33" totalsRowCount="1" headerRowDxfId="441" totalsRowDxfId="440" totalsRowBorderDxfId="439">
  <autoFilter ref="I28:J32" xr:uid="{44BF74E7-A140-4D8A-ABDE-A7999E166A76}"/>
  <tableColumns count="2">
    <tableColumn id="1" xr3:uid="{E643DBA7-C165-4E20-A706-1E4D0AFC6596}" name="Mentions" totalsRowFunction="custom" dataDxfId="438" totalsRowDxfId="437">
      <calculatedColumnFormula>COUNTIF(Tabelle1226[B - Theme],Tabelle10911111258[[#This Row],[Theme]])</calculatedColumnFormula>
      <totalsRowFormula>SUM(Tabelle10911111258[Mentions])</totalsRowFormula>
    </tableColumn>
    <tableColumn id="2" xr3:uid="{7671B55F-3F6F-4D9C-B0DA-C0BC0C56ECA6}" name="Theme" dataDxfId="436" totalsRowDxfId="4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06CE13-1A7C-42BB-87E7-A223A5CF7D4B}" name="Tabelle1226" displayName="Tabelle1226" ref="B3:G47" totalsRowShown="0" headerRowDxfId="434" dataDxfId="433">
  <autoFilter ref="B3:G47" xr:uid="{00000000-0009-0000-0100-000002000000}"/>
  <tableColumns count="6">
    <tableColumn id="2" xr3:uid="{AC49A670-65A1-41F6-9ADB-E73AF82B71BD}" name="A - Code" dataDxfId="432"/>
    <tableColumn id="3" xr3:uid="{C37761B4-034F-4BBE-9EF7-76A25288C856}" name="A - Theme" dataDxfId="431"/>
    <tableColumn id="5" xr3:uid="{EE85EB7D-A736-4C81-B02B-F8993F6761E4}" name="B - Code" dataDxfId="430"/>
    <tableColumn id="6" xr3:uid="{414DABD3-59F6-48C9-8191-3428981979AD}" name="B - Theme" dataDxfId="429"/>
    <tableColumn id="9" xr3:uid="{EC94A1FF-1111-40F0-9791-259689129938}" name="Merged Theme" dataDxfId="428"/>
    <tableColumn id="8" xr3:uid="{18538D3E-BD23-4EDF-AFCB-FE5FF10A32B7}" name="Pos/Neg" dataDxfId="42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D41762-47B0-4A76-A86F-A2CBC3FC865A}" name="Tabelle109512" displayName="Tabelle109512" ref="I3:J9" totalsRowCount="1" headerRowDxfId="426" totalsRowDxfId="425" totalsRowBorderDxfId="424">
  <autoFilter ref="I3:J8" xr:uid="{25D41762-47B0-4A76-A86F-A2CBC3FC865A}"/>
  <tableColumns count="2">
    <tableColumn id="1" xr3:uid="{30395B1C-E5B0-4BE1-9F7B-034A1832788B}" name="Mentions" totalsRowFunction="custom" totalsRowDxfId="423">
      <calculatedColumnFormula>COUNTIF(Tabelle122653[[#All],[Merged Theme]],Tabelle109512[[#This Row],[Merged Theme]])</calculatedColumnFormula>
      <totalsRowFormula>SUM(Tabelle109512[Mentions])</totalsRowFormula>
    </tableColumn>
    <tableColumn id="2" xr3:uid="{AD36D6C9-AD69-4ED4-891B-9ABC21340ABA}" name="Merged Theme" totalsRowDxfId="42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32EBA6-C54B-4469-A0DD-BAFC68807899}" name="Tabelle109111523" displayName="Tabelle109111523" ref="I13:J22" totalsRowCount="1" headerRowDxfId="421" totalsRowDxfId="420" totalsRowBorderDxfId="419">
  <autoFilter ref="I13:J21" xr:uid="{A532EBA6-C54B-4469-A0DD-BAFC68807899}"/>
  <tableColumns count="2">
    <tableColumn id="1" xr3:uid="{B70E2579-FEED-40B7-8B1F-D496EC417D63}" name="Mentions" totalsRowFunction="custom" dataDxfId="418" totalsRowDxfId="417">
      <calculatedColumnFormula>COUNTIF(Tabelle122653[A - Theme],Tabelle109111523[[#This Row],[Theme]])</calculatedColumnFormula>
      <totalsRowFormula>SUM(Tabelle109111523[Mentions])</totalsRowFormula>
    </tableColumn>
    <tableColumn id="2" xr3:uid="{31BE7259-23D4-4473-9A26-0AEB26927CA0}" name="Theme" dataDxfId="416" totalsRowDxfId="4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6772AD-3306-4916-895E-F66D009BB851}" name="Tabelle109111112587" displayName="Tabelle109111112587" ref="I26:J32" totalsRowCount="1" headerRowDxfId="414" totalsRowDxfId="413" totalsRowBorderDxfId="412">
  <autoFilter ref="I26:J31" xr:uid="{FB6772AD-3306-4916-895E-F66D009BB851}"/>
  <tableColumns count="2">
    <tableColumn id="1" xr3:uid="{82251997-E8F4-4593-960A-151A2CF3B48C}" name="Mentions" totalsRowFunction="custom" dataDxfId="411" totalsRowDxfId="410">
      <calculatedColumnFormula>COUNTIF(Tabelle122653[B - Theme],Tabelle109111112587[[#This Row],[Theme]])</calculatedColumnFormula>
      <totalsRowFormula>SUM(Tabelle109111112587[Mentions])</totalsRowFormula>
    </tableColumn>
    <tableColumn id="2" xr3:uid="{6366173B-6986-47C0-941A-1D0F634BE4D1}" name="Theme" dataDxfId="409" totalsRowDxfId="40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EE4C5ED-C8C4-4BC7-BD36-1F8879043B7A}" name="Tabelle122653" displayName="Tabelle122653" ref="B3:G72" totalsRowShown="0" headerRowDxfId="407" dataDxfId="406">
  <autoFilter ref="B3:G72" xr:uid="{8EE4C5ED-C8C4-4BC7-BD36-1F8879043B7A}"/>
  <tableColumns count="6">
    <tableColumn id="2" xr3:uid="{4C315532-7012-4FF6-BEA8-347FD28C3F5C}" name="A - Code" dataDxfId="405"/>
    <tableColumn id="3" xr3:uid="{D8E3B305-FD6E-4368-AA01-ABDCE67E0659}" name="A - Theme" dataDxfId="404"/>
    <tableColumn id="5" xr3:uid="{FAC0CF8E-23B3-447C-84F4-9F22FC7F9717}" name="B - Code" dataDxfId="403"/>
    <tableColumn id="6" xr3:uid="{A478E7D8-FE5B-40C8-8B0E-D3FBED19A270}" name="B - Theme" dataDxfId="402"/>
    <tableColumn id="9" xr3:uid="{52760770-7FC7-4370-AED7-916B5AC74EC6}" name="Merged Theme" dataDxfId="401"/>
    <tableColumn id="1" xr3:uid="{E1CA89BB-CE45-48ED-81C9-FD38DCAAC1B2}" name="Pos/Neg" dataDxfId="40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649DB50-8592-4B9C-8090-5015749A3132}" name="Tabelle10951259" displayName="Tabelle10951259" ref="I3:J8" totalsRowCount="1" headerRowDxfId="399" totalsRowDxfId="398" totalsRowBorderDxfId="397">
  <autoFilter ref="I3:J7" xr:uid="{25D41762-47B0-4A76-A86F-A2CBC3FC865A}"/>
  <tableColumns count="2">
    <tableColumn id="1" xr3:uid="{26AD60C3-FED1-4D3A-9FDA-7A40699C5E9B}" name="Mentions" totalsRowFunction="custom" totalsRowDxfId="396">
      <calculatedColumnFormula>COUNTIF(Tabelle12265397[[#All],[Merged Theme]],Tabelle10951259[[#This Row],[Merged Theme]])</calculatedColumnFormula>
      <totalsRowFormula>SUM(Tabelle10951259[Mentions])</totalsRowFormula>
    </tableColumn>
    <tableColumn id="2" xr3:uid="{392E89C8-D1EF-41B0-BC45-3B0A6FEC9588}" name="Merged Theme" totalsRowDxfId="395"/>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38C20934-6EFB-4C8E-B6CA-BDF94F9EAEFE}" name="Tabelle10911152394" displayName="Tabelle10911152394" ref="I12:J16" totalsRowCount="1" headerRowDxfId="394" totalsRowDxfId="393" totalsRowBorderDxfId="392">
  <autoFilter ref="I12:J15" xr:uid="{A532EBA6-C54B-4469-A0DD-BAFC68807899}"/>
  <tableColumns count="2">
    <tableColumn id="1" xr3:uid="{70442B34-C74F-441B-9B16-934F87047EF6}" name="Mentions" totalsRowFunction="custom" dataDxfId="391" totalsRowDxfId="390">
      <calculatedColumnFormula>COUNTIF(Tabelle12265397[A - Theme],Tabelle10911152394[[#This Row],[Theme]])</calculatedColumnFormula>
      <totalsRowFormula>SUM(Tabelle10911152394[Mentions])</totalsRowFormula>
    </tableColumn>
    <tableColumn id="2" xr3:uid="{D58A7E71-F13C-4B20-941F-62FA74534F85}" name="Theme" dataDxfId="389" totalsRowDxfId="38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ECB54E8F-44DC-4B65-9EB4-4F89B700E619}" name="Tabelle10911111258796" displayName="Tabelle10911111258796" ref="I20:J25" totalsRowCount="1" headerRowDxfId="387" totalsRowDxfId="386" totalsRowBorderDxfId="385">
  <autoFilter ref="I20:J24" xr:uid="{FB6772AD-3306-4916-895E-F66D009BB851}"/>
  <sortState xmlns:xlrd2="http://schemas.microsoft.com/office/spreadsheetml/2017/richdata2" ref="I21:J24">
    <sortCondition descending="1" ref="I20:I24"/>
  </sortState>
  <tableColumns count="2">
    <tableColumn id="1" xr3:uid="{1887AF6F-F680-42A0-A7D7-28E8593BDFEC}" name="Mentions" totalsRowFunction="custom" dataDxfId="384" totalsRowDxfId="383">
      <calculatedColumnFormula>COUNTIF(Tabelle12265397[B - Theme],Tabelle10911111258796[[#This Row],[Theme]])</calculatedColumnFormula>
      <totalsRowFormula>SUM(Tabelle10911111258796[Mentions])</totalsRowFormula>
    </tableColumn>
    <tableColumn id="2" xr3:uid="{ED43390A-3DB1-43D3-8EB3-6EE709AC687B}" name="Theme" dataDxfId="382" totalsRowDxfId="38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BF581A12-875C-4576-A31C-448FB2D71AF0}" name="Tabelle12265397" displayName="Tabelle12265397" ref="B3:G26" totalsRowShown="0" headerRowDxfId="380" dataDxfId="379">
  <autoFilter ref="B3:G26" xr:uid="{8EE4C5ED-C8C4-4BC7-BD36-1F8879043B7A}"/>
  <tableColumns count="6">
    <tableColumn id="2" xr3:uid="{AA313FE2-32F3-4DF7-AED9-BD4B79274515}" name="A - Code" dataDxfId="378"/>
    <tableColumn id="3" xr3:uid="{7FCEFC04-35E2-426B-979D-B72D7AE85F4E}" name="A - Theme" dataDxfId="377"/>
    <tableColumn id="5" xr3:uid="{E9086295-5830-4563-84C7-8707E46E1F76}" name="B - Code" dataDxfId="376"/>
    <tableColumn id="6" xr3:uid="{FA116F74-C8BC-4B47-B1CE-E353EAF019F6}" name="B - Theme" dataDxfId="375"/>
    <tableColumn id="9" xr3:uid="{13EAF536-6A5C-4AEF-A11F-C6E65127D862}" name="Merged Theme" dataDxfId="374"/>
    <tableColumn id="1" xr3:uid="{9B060F57-F7BC-42E2-BF4F-87167BFE2C54}" name="Pos/Neg" dataDxfId="37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1BF9B733-3C53-4CCF-9E25-305DDB979C21}" name="Tabelle10951259109" displayName="Tabelle10951259109" ref="I3:J9" totalsRowCount="1" headerRowDxfId="372" totalsRowDxfId="371" totalsRowBorderDxfId="370">
  <autoFilter ref="I3:J8" xr:uid="{25D41762-47B0-4A76-A86F-A2CBC3FC865A}"/>
  <sortState xmlns:xlrd2="http://schemas.microsoft.com/office/spreadsheetml/2017/richdata2" ref="I4:J8">
    <sortCondition descending="1" ref="I3:I8"/>
  </sortState>
  <tableColumns count="2">
    <tableColumn id="1" xr3:uid="{40213AED-6C0E-416F-9729-FB8A2190A0DE}" name="Mentions" totalsRowFunction="custom" totalsRowDxfId="369">
      <calculatedColumnFormula>COUNTIF(Tabelle12265397112[[#All],[Merged Theme]],Tabelle10951259109[[#This Row],[Merged Theme]])</calculatedColumnFormula>
      <totalsRowFormula>SUM(Tabelle10951259109[Mentions])</totalsRowFormula>
    </tableColumn>
    <tableColumn id="2" xr3:uid="{5BCD4A22-B87A-494F-B6A8-87BC2F56C378}" name="Merged Theme" totalsRowDxfId="36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E64CA382-1017-49A6-BC35-7273AC564E03}" name="Tabelle10911152394110" displayName="Tabelle10911152394110" ref="I13:J20" totalsRowCount="1" headerRowDxfId="367" totalsRowDxfId="366" totalsRowBorderDxfId="365">
  <autoFilter ref="I13:J19" xr:uid="{A532EBA6-C54B-4469-A0DD-BAFC68807899}"/>
  <tableColumns count="2">
    <tableColumn id="1" xr3:uid="{AECB7A79-6353-4D93-88E3-92AE57798233}" name="Mentions" totalsRowFunction="custom" dataDxfId="364" totalsRowDxfId="363">
      <calculatedColumnFormula>COUNTIF(Tabelle12265397112[A - Theme],Tabelle10911152394110[[#This Row],[Theme]])</calculatedColumnFormula>
      <totalsRowFormula>SUM(Tabelle10911152394110[Mentions])</totalsRowFormula>
    </tableColumn>
    <tableColumn id="2" xr3:uid="{8BDECA45-9AEA-43C8-988F-025F286F564B}" name="Theme" dataDxfId="362" totalsRowDxfId="361"/>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2D9993D5-D46D-4333-AEC0-A8CB98EC8780}" name="Tabelle10911111258796111" displayName="Tabelle10911111258796111" ref="I24:J32" totalsRowCount="1" headerRowDxfId="360" totalsRowDxfId="359" totalsRowBorderDxfId="358">
  <autoFilter ref="I24:J31" xr:uid="{FB6772AD-3306-4916-895E-F66D009BB851}"/>
  <sortState xmlns:xlrd2="http://schemas.microsoft.com/office/spreadsheetml/2017/richdata2" ref="I25:J31">
    <sortCondition descending="1" ref="I24:I31"/>
  </sortState>
  <tableColumns count="2">
    <tableColumn id="1" xr3:uid="{C43E7F87-9117-4955-BC42-285123FAEC4F}" name="Mentions" totalsRowFunction="custom" dataDxfId="357" totalsRowDxfId="356">
      <calculatedColumnFormula>COUNTIF(Tabelle12265397112[B - Theme],Tabelle10911111258796111[[#This Row],[Theme]])</calculatedColumnFormula>
      <totalsRowFormula>SUM(Tabelle10911111258796111[Mentions])</totalsRowFormula>
    </tableColumn>
    <tableColumn id="2" xr3:uid="{037D3D9B-F92A-4267-A5FA-0E9B2F2AE372}" name="Theme" dataDxfId="355" totalsRowDxfId="35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AE26976B-64AC-4DEF-8361-02EBE485BECE}" name="Tabelle12265397112" displayName="Tabelle12265397112" ref="B3:G77" totalsRowShown="0" headerRowDxfId="353" dataDxfId="352">
  <autoFilter ref="B3:G77" xr:uid="{8EE4C5ED-C8C4-4BC7-BD36-1F8879043B7A}"/>
  <tableColumns count="6">
    <tableColumn id="2" xr3:uid="{AF6D8F8C-8ACD-4918-8AF7-B5658299103E}" name="A - Code" dataDxfId="351"/>
    <tableColumn id="3" xr3:uid="{2B7F0A26-FAEC-478F-96A9-6F8055E4477C}" name="A - Theme" dataDxfId="350"/>
    <tableColumn id="5" xr3:uid="{64393740-588C-4A96-B15C-0A8DA7A27301}" name="B - Code" dataDxfId="349"/>
    <tableColumn id="6" xr3:uid="{C409CB9A-779F-4F74-9C2F-1C90E8A9B6B2}" name="B - Theme" dataDxfId="348"/>
    <tableColumn id="9" xr3:uid="{189C0CCB-4445-4309-B150-461EF6D67C0D}" name="Merged Theme" dataDxfId="347"/>
    <tableColumn id="1" xr3:uid="{511D8766-F42E-45D9-98AF-71E73B711D61}" name="Pos/Neg" dataDxfId="346"/>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B7146F9F-E777-418E-9F5B-822AD1703A94}" name="Tabelle10951259109113" displayName="Tabelle10951259109113" ref="I3:J8" totalsRowCount="1" headerRowDxfId="345" totalsRowDxfId="344" totalsRowBorderDxfId="343">
  <autoFilter ref="I3:J7" xr:uid="{25D41762-47B0-4A76-A86F-A2CBC3FC865A}"/>
  <sortState xmlns:xlrd2="http://schemas.microsoft.com/office/spreadsheetml/2017/richdata2" ref="I4:J7">
    <sortCondition descending="1" ref="I3:I7"/>
  </sortState>
  <tableColumns count="2">
    <tableColumn id="1" xr3:uid="{35F3C4CD-69F3-4DE1-8000-90EA9E8B51F9}" name="Mentions" totalsRowFunction="custom" totalsRowDxfId="342">
      <calculatedColumnFormula>COUNTIF(Tabelle12265397112116[[#All],[Merged Theme]],Tabelle10951259109113[[#This Row],[Merged Theme]])</calculatedColumnFormula>
      <totalsRowFormula>SUM(Tabelle10951259109113[Mentions])</totalsRowFormula>
    </tableColumn>
    <tableColumn id="2" xr3:uid="{54464E4A-2E81-4513-B559-2768B9A8E21E}" name="Merged Theme" totalsRowDxfId="341"/>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3F5AF7D-0DB2-4010-9818-933936AC9085}" name="Tabelle10911152394110114" displayName="Tabelle10911152394110114" ref="I12:J17" totalsRowCount="1" headerRowDxfId="340" totalsRowDxfId="339" totalsRowBorderDxfId="338">
  <autoFilter ref="I12:J16" xr:uid="{A532EBA6-C54B-4469-A0DD-BAFC68807899}"/>
  <sortState xmlns:xlrd2="http://schemas.microsoft.com/office/spreadsheetml/2017/richdata2" ref="I13:J16">
    <sortCondition descending="1" ref="I12:I16"/>
  </sortState>
  <tableColumns count="2">
    <tableColumn id="1" xr3:uid="{C1BDE962-9B70-49EF-B299-78DD0D3385BF}" name="Mentions" totalsRowFunction="custom" dataDxfId="337" totalsRowDxfId="336">
      <calculatedColumnFormula>COUNTIF(Tabelle12265397112116[A - Theme],Tabelle10911152394110114[[#This Row],[Theme]])</calculatedColumnFormula>
      <totalsRowFormula>SUM(Tabelle10911152394110114[Mentions])</totalsRowFormula>
    </tableColumn>
    <tableColumn id="2" xr3:uid="{45C7216C-9299-4523-80A5-2D9692530BFB}" name="Theme" dataDxfId="335" totalsRowDxfId="334"/>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BFF4A9AA-C4D5-4B21-92DC-AE72695B6034}" name="Tabelle10911111258796111115" displayName="Tabelle10911111258796111115" ref="I21:J25" totalsRowCount="1" headerRowDxfId="333" totalsRowDxfId="332" totalsRowBorderDxfId="331">
  <autoFilter ref="I21:J24" xr:uid="{FB6772AD-3306-4916-895E-F66D009BB851}"/>
  <sortState xmlns:xlrd2="http://schemas.microsoft.com/office/spreadsheetml/2017/richdata2" ref="I22:J24">
    <sortCondition descending="1" ref="I21:I24"/>
  </sortState>
  <tableColumns count="2">
    <tableColumn id="1" xr3:uid="{A2BF6698-9099-4CE3-AC62-110C78D2CD2E}" name="Mentions" totalsRowFunction="custom" dataDxfId="330" totalsRowDxfId="329">
      <calculatedColumnFormula>COUNTIF(Tabelle12265397112116[B - Theme],Tabelle10911111258796111115[[#This Row],[Theme]])</calculatedColumnFormula>
      <totalsRowFormula>SUM(Tabelle10911111258796111115[Mentions])</totalsRowFormula>
    </tableColumn>
    <tableColumn id="2" xr3:uid="{B6558AF9-FE16-4EDE-8667-09C2549646D7}" name="Theme" dataDxfId="328" totalsRowDxfId="327"/>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6E03551-1235-44EC-AD98-6278F713D2B5}" name="Tabelle12265397112116" displayName="Tabelle12265397112116" ref="B3:G26" totalsRowShown="0" headerRowDxfId="326" dataDxfId="325">
  <autoFilter ref="B3:G26" xr:uid="{8EE4C5ED-C8C4-4BC7-BD36-1F8879043B7A}"/>
  <tableColumns count="6">
    <tableColumn id="2" xr3:uid="{261FD2FE-A55F-4B23-8571-2513FE90F5E0}" name="A - Code" dataDxfId="324"/>
    <tableColumn id="3" xr3:uid="{3EFE4386-99F8-4A99-9017-49955B27CCF1}" name="A - Theme" dataDxfId="323"/>
    <tableColumn id="5" xr3:uid="{26FDDF45-E621-4047-B27C-BD58A5379E06}" name="B - Code" dataDxfId="322"/>
    <tableColumn id="6" xr3:uid="{5972DB36-D02B-4FC8-B6D6-ABD7A21BA29C}" name="B - Theme" dataDxfId="321"/>
    <tableColumn id="9" xr3:uid="{542DA078-6EF2-4530-8A17-804FF52B783E}" name="Merged Theme" dataDxfId="320"/>
    <tableColumn id="1" xr3:uid="{65597907-EF66-48E4-8103-574CF31EC0A3}" name="Pos/Neg" dataDxfId="319"/>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2EA01F1-8311-48D1-B8AA-ED73D629804D}" name="Tabelle10951259109113117" displayName="Tabelle10951259109113117" ref="J3:K7" totalsRowCount="1" headerRowDxfId="318" totalsRowDxfId="317" totalsRowBorderDxfId="316">
  <autoFilter ref="J3:K6" xr:uid="{25D41762-47B0-4A76-A86F-A2CBC3FC865A}"/>
  <sortState xmlns:xlrd2="http://schemas.microsoft.com/office/spreadsheetml/2017/richdata2" ref="J4:K6">
    <sortCondition descending="1" ref="J3:J6"/>
  </sortState>
  <tableColumns count="2">
    <tableColumn id="1" xr3:uid="{FE20A805-1E35-4624-A93B-B4BF0ACEE2F8}" name="Mentions" totalsRowFunction="custom" totalsRowDxfId="315">
      <calculatedColumnFormula>COUNTIF(Tabelle12265397112116120[[#All],[Merged Theme]],Tabelle10951259109113117[[#This Row],[Merged Theme]])</calculatedColumnFormula>
      <totalsRowFormula>SUM(Tabelle10951259109113117[Mentions])</totalsRowFormula>
    </tableColumn>
    <tableColumn id="2" xr3:uid="{46862568-D050-4239-842D-45C0C5D5ED19}" name="Merged Theme" totalsRowDxfId="314"/>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4EC70872-A13A-4177-9FF6-7E8481FF518A}" name="Tabelle10911152394110114118" displayName="Tabelle10911152394110114118" ref="J11:K15" totalsRowCount="1" headerRowDxfId="313" totalsRowDxfId="312" totalsRowBorderDxfId="311">
  <autoFilter ref="J11:K14" xr:uid="{A532EBA6-C54B-4469-A0DD-BAFC68807899}"/>
  <sortState xmlns:xlrd2="http://schemas.microsoft.com/office/spreadsheetml/2017/richdata2" ref="J12:K14">
    <sortCondition descending="1" ref="J11:J14"/>
  </sortState>
  <tableColumns count="2">
    <tableColumn id="1" xr3:uid="{23FB8804-8AA7-431A-BAC3-6B49F901EA0B}" name="Mentions" totalsRowFunction="custom" dataDxfId="310" totalsRowDxfId="309">
      <calculatedColumnFormula>COUNTIF(Tabelle12265397112116120[A - Theme],Tabelle10911152394110114118[[#This Row],[Theme]])</calculatedColumnFormula>
      <totalsRowFormula>SUM(Tabelle10911152394110114118[Mentions])</totalsRowFormula>
    </tableColumn>
    <tableColumn id="2" xr3:uid="{BA548772-E34F-49A0-8FFE-CEAB86F38E05}" name="Theme" dataDxfId="308" totalsRowDxfId="307"/>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C32373BF-8522-43C7-AAE2-38D258A05C53}" name="Tabelle10911111258796111115119" displayName="Tabelle10911111258796111115119" ref="J19:K23" totalsRowCount="1" headerRowDxfId="306" totalsRowDxfId="305" totalsRowBorderDxfId="304">
  <autoFilter ref="J19:K22" xr:uid="{FB6772AD-3306-4916-895E-F66D009BB851}"/>
  <sortState xmlns:xlrd2="http://schemas.microsoft.com/office/spreadsheetml/2017/richdata2" ref="J20:K22">
    <sortCondition descending="1" ref="J19:J22"/>
  </sortState>
  <tableColumns count="2">
    <tableColumn id="1" xr3:uid="{136675B3-F345-445B-A05A-F84833DE03D3}" name="Mentions" totalsRowFunction="custom" dataDxfId="303" totalsRowDxfId="302">
      <calculatedColumnFormula>COUNTIF(Tabelle12265397112116120[B - Theme],Tabelle10911111258796111115119[[#This Row],[Theme]])</calculatedColumnFormula>
      <totalsRowFormula>SUM(Tabelle10911111258796111115119[Mentions])</totalsRowFormula>
    </tableColumn>
    <tableColumn id="2" xr3:uid="{0243CEAF-C32E-489B-9D22-E7A5A8C0FF7F}" name="Theme" dataDxfId="301" totalsRowDxfId="300"/>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416BA148-3949-489F-B083-19A77159BA0A}" name="Tabelle12265397112116120" displayName="Tabelle12265397112116120" ref="C3:H25" totalsRowShown="0" headerRowDxfId="299" dataDxfId="298">
  <autoFilter ref="C3:H25" xr:uid="{8EE4C5ED-C8C4-4BC7-BD36-1F8879043B7A}"/>
  <tableColumns count="6">
    <tableColumn id="2" xr3:uid="{8AE7E28D-08B2-406A-A794-A3A98F2A20DF}" name="A - Code" dataDxfId="297"/>
    <tableColumn id="3" xr3:uid="{8D35C92D-0EDB-475F-A220-D343CAB2553A}" name="A - Theme" dataDxfId="296"/>
    <tableColumn id="5" xr3:uid="{56486FFD-E765-4DB1-8DC7-071D12786A72}" name="B - Code" dataDxfId="295"/>
    <tableColumn id="6" xr3:uid="{3AAB8A6F-7BB2-495D-AF9B-F269E52F6398}" name="B - Theme" dataDxfId="294"/>
    <tableColumn id="9" xr3:uid="{566D28A9-A733-4086-BA29-7D0D6A9898A2}" name="Merged Theme" dataDxfId="293"/>
    <tableColumn id="1" xr3:uid="{316FEE6B-07C0-4FF5-8F30-3F81BB85B3C9}" name="Pos/Neg" dataDxfId="29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808214AC-EAD0-42D3-93BC-A874164D1463}" name="Tabelle10951259109113117126" displayName="Tabelle10951259109113117126" ref="I3:J9" totalsRowCount="1" headerRowDxfId="291" totalsRowDxfId="290" totalsRowBorderDxfId="289">
  <autoFilter ref="I3:J8" xr:uid="{25D41762-47B0-4A76-A86F-A2CBC3FC865A}"/>
  <sortState xmlns:xlrd2="http://schemas.microsoft.com/office/spreadsheetml/2017/richdata2" ref="I4:J8">
    <sortCondition descending="1" ref="I3:I8"/>
  </sortState>
  <tableColumns count="2">
    <tableColumn id="1" xr3:uid="{9C840B4F-36E4-430B-A2BB-3D6C1B920B7D}" name="Mentions" totalsRowFunction="custom" totalsRowDxfId="288">
      <calculatedColumnFormula>COUNTIF(Tabelle12265397112116120129[[#All],[Merged Theme]],Tabelle10951259109113117126[[#This Row],[Merged Theme]])</calculatedColumnFormula>
      <totalsRowFormula>SUM(Tabelle10951259109113117126[Mentions])</totalsRowFormula>
    </tableColumn>
    <tableColumn id="2" xr3:uid="{04906CE7-19D6-45F5-8320-B5C8873920F4}" name="Merged Theme" dataDxfId="287" totalsRowDxfId="286"/>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954959EC-EBD3-4812-9808-D52D049ACD64}" name="Tabelle10911152394110114118127" displayName="Tabelle10911152394110114118127" ref="I13:J19" totalsRowCount="1" headerRowDxfId="285" totalsRowDxfId="284" totalsRowBorderDxfId="283">
  <autoFilter ref="I13:J18" xr:uid="{A532EBA6-C54B-4469-A0DD-BAFC68807899}"/>
  <sortState xmlns:xlrd2="http://schemas.microsoft.com/office/spreadsheetml/2017/richdata2" ref="I14:J17">
    <sortCondition descending="1" ref="I13:I17"/>
  </sortState>
  <tableColumns count="2">
    <tableColumn id="1" xr3:uid="{BA053F38-DD3E-42B5-B24E-F94B3E156268}" name="Mentions" totalsRowFunction="custom" dataDxfId="282" totalsRowDxfId="281">
      <calculatedColumnFormula>COUNTIF(Tabelle12265397112116120129[A - Theme],Tabelle10911152394110114118127[[#This Row],[Theme]])</calculatedColumnFormula>
      <totalsRowFormula>SUM(Tabelle10911152394110114118127[Mentions])</totalsRowFormula>
    </tableColumn>
    <tableColumn id="2" xr3:uid="{02156CD0-E484-4058-8AAD-3BAE4F156DCA}" name="Theme" dataDxfId="280" totalsRowDxfId="279"/>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5822C79-C4A0-444B-ABC5-1179F2AFEE00}" name="Tabelle10911111258796111115119128" displayName="Tabelle10911111258796111115119128" ref="I23:J30" totalsRowCount="1" headerRowDxfId="278" totalsRowDxfId="277" totalsRowBorderDxfId="276">
  <autoFilter ref="I23:J29" xr:uid="{FB6772AD-3306-4916-895E-F66D009BB851}"/>
  <sortState xmlns:xlrd2="http://schemas.microsoft.com/office/spreadsheetml/2017/richdata2" ref="I24:J29">
    <sortCondition descending="1" ref="I23:I29"/>
  </sortState>
  <tableColumns count="2">
    <tableColumn id="1" xr3:uid="{1530D091-B37C-4D03-8354-69258EA8F246}" name="Mentions" totalsRowFunction="custom" dataDxfId="275" totalsRowDxfId="274">
      <calculatedColumnFormula>COUNTIF(Tabelle12265397112116120129[B - Theme],Tabelle10911111258796111115119128[[#This Row],[Theme]])</calculatedColumnFormula>
      <totalsRowFormula>SUM(Tabelle10911111258796111115119128[Mentions])</totalsRowFormula>
    </tableColumn>
    <tableColumn id="2" xr3:uid="{1EBCDB01-D385-40B8-B955-6FB3F95AF7A1}" name="Theme" dataDxfId="273" totalsRowDxfId="27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382BAE36-9333-4678-AFCF-78D156A663E8}" name="Tabelle12265397112116120129" displayName="Tabelle12265397112116120129" ref="B3:G76" totalsRowShown="0" headerRowDxfId="271" dataDxfId="270">
  <autoFilter ref="B3:G76" xr:uid="{8EE4C5ED-C8C4-4BC7-BD36-1F8879043B7A}"/>
  <tableColumns count="6">
    <tableColumn id="2" xr3:uid="{FE0D3E88-0946-4E0F-B326-A8758CF0F12A}" name="A - Code" dataDxfId="269"/>
    <tableColumn id="3" xr3:uid="{37579C8C-384A-4461-998D-D7323C235E48}" name="A - Theme" dataDxfId="268"/>
    <tableColumn id="5" xr3:uid="{94B436D7-E9AE-4B56-9015-24FE4BE7735E}" name="B - Code" dataDxfId="267"/>
    <tableColumn id="6" xr3:uid="{B5941428-5722-4B7F-894A-44A18A151BEA}" name="B - Theme" dataDxfId="266"/>
    <tableColumn id="9" xr3:uid="{D4EE9243-EB8D-48FD-8B03-19A746BE2839}" name="Merged Theme" dataDxfId="265"/>
    <tableColumn id="1" xr3:uid="{76715797-8906-4EB0-BB26-25DE66D27189}" name="Pos/Neg" dataDxfId="264"/>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D4C7FCE9-E447-4F4E-A025-7B1447454890}" name="Tabelle10951259109113117126130" displayName="Tabelle10951259109113117126130" ref="I3:J9" totalsRowCount="1" headerRowDxfId="263" totalsRowDxfId="262" totalsRowBorderDxfId="261">
  <autoFilter ref="I3:J8" xr:uid="{25D41762-47B0-4A76-A86F-A2CBC3FC865A}"/>
  <sortState xmlns:xlrd2="http://schemas.microsoft.com/office/spreadsheetml/2017/richdata2" ref="I4:J8">
    <sortCondition descending="1" ref="I3:I8"/>
  </sortState>
  <tableColumns count="2">
    <tableColumn id="1" xr3:uid="{BDD7182D-A733-4DA1-97AB-256FD99C81AE}" name="Mentions" totalsRowFunction="custom" totalsRowDxfId="260">
      <calculatedColumnFormula>COUNTIF(Tabelle12265397112116120129133[[#All],[Merged Theme]],Tabelle10951259109113117126130[[#This Row],[Merged Theme]])</calculatedColumnFormula>
      <totalsRowFormula>SUM(Tabelle10951259109113117126130[Mentions])</totalsRowFormula>
    </tableColumn>
    <tableColumn id="2" xr3:uid="{20F7C492-9BE6-481C-8398-AB089BC15C22}" name="Merged Theme" totalsRowDxfId="259"/>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7E691359-4EF1-4611-A01C-3E8A03A6F528}" name="Tabelle10911152394110114118127131" displayName="Tabelle10911152394110114118127131" ref="I13:J19" totalsRowCount="1" headerRowDxfId="258" totalsRowDxfId="257" totalsRowBorderDxfId="256">
  <autoFilter ref="I13:J18" xr:uid="{A532EBA6-C54B-4469-A0DD-BAFC68807899}"/>
  <sortState xmlns:xlrd2="http://schemas.microsoft.com/office/spreadsheetml/2017/richdata2" ref="I14:J18">
    <sortCondition descending="1" ref="I13:I18"/>
  </sortState>
  <tableColumns count="2">
    <tableColumn id="1" xr3:uid="{4BAF5C2E-915E-4CA2-B264-29019EDAA906}" name="Mentions" totalsRowFunction="custom" dataDxfId="255" totalsRowDxfId="254">
      <calculatedColumnFormula>COUNTIF(Tabelle12265397112116120129133[A - Theme],Tabelle10911152394110114118127131[[#This Row],[Theme]])</calculatedColumnFormula>
      <totalsRowFormula>SUM(Tabelle10911152394110114118127131[Mentions])</totalsRowFormula>
    </tableColumn>
    <tableColumn id="2" xr3:uid="{576B30B8-758C-4F09-8122-84278782A620}" name="Theme" dataDxfId="253" totalsRowDxfId="252"/>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7D81F75-6D6E-451F-ADE9-4A1EA326C14D}" name="Tabelle10911111258796111115119128132" displayName="Tabelle10911111258796111115119128132" ref="I23:J29" totalsRowCount="1" headerRowDxfId="251" totalsRowDxfId="250" totalsRowBorderDxfId="249">
  <autoFilter ref="I23:J28" xr:uid="{FB6772AD-3306-4916-895E-F66D009BB851}"/>
  <sortState xmlns:xlrd2="http://schemas.microsoft.com/office/spreadsheetml/2017/richdata2" ref="I24:J28">
    <sortCondition descending="1" ref="I23:I28"/>
  </sortState>
  <tableColumns count="2">
    <tableColumn id="1" xr3:uid="{478ED49B-F43F-490D-B4B2-6FC4ED9ADD3D}" name="Mentions" totalsRowFunction="custom" dataDxfId="248" totalsRowDxfId="247">
      <calculatedColumnFormula>COUNTIF(Tabelle12265397112116120129133[B - Theme],Tabelle10911111258796111115119128132[[#This Row],[Theme]])</calculatedColumnFormula>
      <totalsRowFormula>SUM(Tabelle10911111258796111115119128132[Mentions])</totalsRowFormula>
    </tableColumn>
    <tableColumn id="2" xr3:uid="{1F29DD8C-6101-47E3-8B7C-FC6445D63EC7}" name="Theme" dataDxfId="246" totalsRowDxfId="245"/>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4EE5DF3B-D5E8-4522-9889-9DBDA671D4AE}" name="Tabelle12265397112116120129133" displayName="Tabelle12265397112116120129133" ref="B3:G58" totalsRowShown="0" headerRowDxfId="244" dataDxfId="243">
  <autoFilter ref="B3:G58" xr:uid="{8EE4C5ED-C8C4-4BC7-BD36-1F8879043B7A}"/>
  <tableColumns count="6">
    <tableColumn id="2" xr3:uid="{BEA2FF60-FDFC-4158-A945-01A02DB612B5}" name="A - Code" dataDxfId="242"/>
    <tableColumn id="3" xr3:uid="{28A7C2C8-EADA-48C8-9161-9A4043594B5E}" name="A - Theme" dataDxfId="241"/>
    <tableColumn id="5" xr3:uid="{A08504B8-121B-4AB1-A337-471456C9F0C0}" name="B - Code" dataDxfId="240"/>
    <tableColumn id="6" xr3:uid="{9E372D42-A32F-4141-B617-6AF98555F10C}" name="B - Theme" dataDxfId="239"/>
    <tableColumn id="9" xr3:uid="{4C19C9F4-D83F-47B0-BC21-756F53751ADB}" name="Merged Theme" dataDxfId="238"/>
    <tableColumn id="1" xr3:uid="{C547D875-E942-48D1-A2A3-F4FC95C0084A}" name="Pos/Neg" dataDxfId="237"/>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2BF21C01-6468-46E2-92C9-98365B8E7D4C}" name="Tabelle10951259109113117126134" displayName="Tabelle10951259109113117126134" ref="I3:J11" totalsRowCount="1" headerRowDxfId="236" totalsRowDxfId="235" totalsRowBorderDxfId="234">
  <autoFilter ref="I3:J10" xr:uid="{25D41762-47B0-4A76-A86F-A2CBC3FC865A}"/>
  <sortState xmlns:xlrd2="http://schemas.microsoft.com/office/spreadsheetml/2017/richdata2" ref="I4:J10">
    <sortCondition descending="1" ref="I3:I10"/>
  </sortState>
  <tableColumns count="2">
    <tableColumn id="1" xr3:uid="{4CB8BA42-C21D-49CD-9848-286CE07A4A02}" name="Mentions" totalsRowFunction="custom" totalsRowDxfId="233">
      <calculatedColumnFormula>COUNTIF(Tabelle12265397112116120129137[[#All],[Merged Theme]],Tabelle10951259109113117126134[[#This Row],[Merged Theme]])</calculatedColumnFormula>
      <totalsRowFormula>SUM(Tabelle10951259109113117126134[Mentions])</totalsRowFormula>
    </tableColumn>
    <tableColumn id="2" xr3:uid="{9BFA85DC-A0A6-4AEB-8F49-48C411E04558}" name="Merged Theme" totalsRowDxfId="232"/>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917B3783-47D9-4BE1-BB90-466FDB7A9CD9}" name="Tabelle10911152394110114118127135" displayName="Tabelle10911152394110114118127135" ref="I15:J22" totalsRowCount="1" headerRowDxfId="231" totalsRowDxfId="230" totalsRowBorderDxfId="229">
  <autoFilter ref="I15:J21" xr:uid="{A532EBA6-C54B-4469-A0DD-BAFC68807899}"/>
  <sortState xmlns:xlrd2="http://schemas.microsoft.com/office/spreadsheetml/2017/richdata2" ref="I16:J21">
    <sortCondition descending="1" ref="I15:I21"/>
  </sortState>
  <tableColumns count="2">
    <tableColumn id="1" xr3:uid="{22828922-7741-4FC9-A648-E7559788DB33}" name="Mentions" totalsRowFunction="custom" dataDxfId="228" totalsRowDxfId="227">
      <calculatedColumnFormula>COUNTIF(Tabelle12265397112116120129137[A - Theme],Tabelle10911152394110114118127135[[#This Row],[Theme]])</calculatedColumnFormula>
      <totalsRowFormula>SUM(Tabelle10911152394110114118127135[Mentions])</totalsRowFormula>
    </tableColumn>
    <tableColumn id="2" xr3:uid="{6F70F85B-C421-4695-A34D-31A7325DE722}" name="Theme" dataDxfId="226" totalsRowDxfId="225"/>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47B21B07-2A8D-437F-BE17-6CF7D62D8EBC}" name="Tabelle10911111258796111115119128136" displayName="Tabelle10911111258796111115119128136" ref="I26:J34" totalsRowCount="1" headerRowDxfId="224" totalsRowDxfId="223" totalsRowBorderDxfId="222">
  <autoFilter ref="I26:J33" xr:uid="{FB6772AD-3306-4916-895E-F66D009BB851}"/>
  <sortState xmlns:xlrd2="http://schemas.microsoft.com/office/spreadsheetml/2017/richdata2" ref="I27:J33">
    <sortCondition descending="1" ref="I26:I33"/>
  </sortState>
  <tableColumns count="2">
    <tableColumn id="1" xr3:uid="{675821AE-73DA-4646-9964-0D3E661E5A17}" name="Mentions" totalsRowFunction="custom" dataDxfId="221" totalsRowDxfId="220">
      <calculatedColumnFormula>COUNTIF(Tabelle12265397112116120129137[B - Theme],Tabelle10911111258796111115119128136[[#This Row],[Theme]])</calculatedColumnFormula>
      <totalsRowFormula>SUM(Tabelle10911111258796111115119128136[Mentions])</totalsRowFormula>
    </tableColumn>
    <tableColumn id="2" xr3:uid="{7BD386C4-1603-4948-B0F1-FD533302F2A1}" name="Theme" dataDxfId="219" totalsRowDxfId="218"/>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9D930629-3A7F-4A11-A21F-6DF9A3160C76}" name="Tabelle12265397112116120129137" displayName="Tabelle12265397112116120129137" ref="B3:G83" totalsRowShown="0" headerRowDxfId="217" dataDxfId="216">
  <autoFilter ref="B3:G83" xr:uid="{8EE4C5ED-C8C4-4BC7-BD36-1F8879043B7A}"/>
  <tableColumns count="6">
    <tableColumn id="2" xr3:uid="{D98698D4-9B03-423B-A56F-FA1073301D9A}" name="A - Code" dataDxfId="215"/>
    <tableColumn id="3" xr3:uid="{AAF70AA1-E689-41FC-A3E3-1B1C6CCA936B}" name="A - Theme" dataDxfId="214"/>
    <tableColumn id="5" xr3:uid="{9A9CA29B-9927-40B0-945D-C75C2D852935}" name="B - Code" dataDxfId="213"/>
    <tableColumn id="6" xr3:uid="{903445E0-4ECD-40D0-871F-6AD4A6AD9259}" name="B - Theme" dataDxfId="212"/>
    <tableColumn id="9" xr3:uid="{64419B6A-3EA9-42AC-ABBC-F7C02C68327E}" name="Merged Theme" dataDxfId="211"/>
    <tableColumn id="1" xr3:uid="{5277D959-1D4C-4688-BD35-18822D5F4E1D}" name="Pos/Neg" dataDxfId="210"/>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A7656A7F-DC23-4051-8F3D-46614272F121}" name="Tabelle10951259109113117126134138" displayName="Tabelle10951259109113117126134138" ref="I3:J10" totalsRowCount="1" headerRowDxfId="209" totalsRowDxfId="208" totalsRowBorderDxfId="207">
  <autoFilter ref="I3:J9" xr:uid="{25D41762-47B0-4A76-A86F-A2CBC3FC865A}"/>
  <sortState xmlns:xlrd2="http://schemas.microsoft.com/office/spreadsheetml/2017/richdata2" ref="I4:J9">
    <sortCondition descending="1" ref="I3:I9"/>
  </sortState>
  <tableColumns count="2">
    <tableColumn id="1" xr3:uid="{B380A319-B4AE-40E0-AB86-8156BEA5F297}" name="Mentions" totalsRowFunction="custom" totalsRowDxfId="206">
      <calculatedColumnFormula>COUNTIF(Tabelle12265397112116120129137141[[#All],[Merged Theme]],Tabelle10951259109113117126134138[[#This Row],[Merged Theme]])</calculatedColumnFormula>
      <totalsRowFormula>SUM(Tabelle10951259109113117126134138[Mentions])</totalsRowFormula>
    </tableColumn>
    <tableColumn id="2" xr3:uid="{DBF1857F-5769-4992-BEA0-91C8341A95F0}" name="Merged Theme" totalsRowDxfId="205"/>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606D6427-080E-442D-9132-BB68C42981E7}" name="Tabelle10911152394110114118127135139" displayName="Tabelle10911152394110114118127135139" ref="I14:J19" totalsRowCount="1" headerRowDxfId="204" totalsRowDxfId="203" totalsRowBorderDxfId="202">
  <autoFilter ref="I14:J18" xr:uid="{A532EBA6-C54B-4469-A0DD-BAFC68807899}"/>
  <sortState xmlns:xlrd2="http://schemas.microsoft.com/office/spreadsheetml/2017/richdata2" ref="I15:J18">
    <sortCondition descending="1" ref="I14:I18"/>
  </sortState>
  <tableColumns count="2">
    <tableColumn id="1" xr3:uid="{A796D505-43B1-47C7-AF68-14772B5D9C0F}" name="Mentions" totalsRowFunction="custom" dataDxfId="201" totalsRowDxfId="200">
      <calculatedColumnFormula>COUNTIF(Tabelle12265397112116120129137141[A - Theme],Tabelle10911152394110114118127135139[[#This Row],[Theme]])</calculatedColumnFormula>
      <totalsRowFormula>SUM(Tabelle10911152394110114118127135139[Mentions])</totalsRowFormula>
    </tableColumn>
    <tableColumn id="2" xr3:uid="{B7D8DC96-086D-4AC5-B9E2-CC5797B97F25}" name="Theme" dataDxfId="199" totalsRowDxfId="198"/>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894489D0-5623-4849-99E6-A33E6A6409CC}" name="Tabelle10911111258796111115119128136140" displayName="Tabelle10911111258796111115119128136140" ref="I23:J30" totalsRowCount="1" headerRowDxfId="197" totalsRowDxfId="196" totalsRowBorderDxfId="195">
  <autoFilter ref="I23:J29" xr:uid="{FB6772AD-3306-4916-895E-F66D009BB851}"/>
  <sortState xmlns:xlrd2="http://schemas.microsoft.com/office/spreadsheetml/2017/richdata2" ref="I24:J29">
    <sortCondition descending="1" ref="I23:I29"/>
  </sortState>
  <tableColumns count="2">
    <tableColumn id="1" xr3:uid="{BFFC95FF-459B-421F-8E93-562059154466}" name="Mentions" totalsRowFunction="custom" dataDxfId="194" totalsRowDxfId="193">
      <calculatedColumnFormula>COUNTIF(Tabelle12265397112116120129137141[B - Theme],Tabelle10911111258796111115119128136140[[#This Row],[Theme]])</calculatedColumnFormula>
      <totalsRowFormula>SUM(Tabelle10911111258796111115119128136140[Mentions])</totalsRowFormula>
    </tableColumn>
    <tableColumn id="2" xr3:uid="{7D62808B-CF0B-4E13-8021-776BD8A39B7D}" name="Theme" dataDxfId="192" totalsRowDxfId="191"/>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5A37696B-7ED8-4769-AF9E-4E2972206598}" name="Tabelle12265397112116120129137141" displayName="Tabelle12265397112116120129137141" ref="B3:G75" totalsRowShown="0" headerRowDxfId="190" dataDxfId="189">
  <autoFilter ref="B3:G75" xr:uid="{8EE4C5ED-C8C4-4BC7-BD36-1F8879043B7A}"/>
  <tableColumns count="6">
    <tableColumn id="2" xr3:uid="{31D2510C-9285-4124-8B32-A45F727B0D00}" name="A - Code" dataDxfId="188"/>
    <tableColumn id="3" xr3:uid="{8F61CC63-2BFB-40AB-9F83-01A3369C3C01}" name="A - Theme" dataDxfId="187"/>
    <tableColumn id="5" xr3:uid="{C0C8420B-94EC-454B-8509-51FE50A76227}" name="B - Code" dataDxfId="186"/>
    <tableColumn id="6" xr3:uid="{7D5B5AB0-74BB-47A0-AA26-A9A08662D54A}" name="B - Theme" dataDxfId="185"/>
    <tableColumn id="9" xr3:uid="{C9D3B99D-B12B-4743-8294-592C744312EA}" name="Merged Theme" dataDxfId="184"/>
    <tableColumn id="1" xr3:uid="{F1FF9D50-9ABE-497B-97FF-8EB87FBD1101}" name="Pos/Neg" dataDxfId="183"/>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78FC5D3-533D-4EE9-82D8-F8A35FAFCE2D}" name="Tabelle10951259109113117126134138142" displayName="Tabelle10951259109113117126134138142" ref="I3:J11" totalsRowCount="1" headerRowDxfId="182" totalsRowDxfId="181" totalsRowBorderDxfId="180">
  <autoFilter ref="I3:J10" xr:uid="{25D41762-47B0-4A76-A86F-A2CBC3FC865A}"/>
  <sortState xmlns:xlrd2="http://schemas.microsoft.com/office/spreadsheetml/2017/richdata2" ref="I4:J10">
    <sortCondition descending="1" ref="I3:I10"/>
  </sortState>
  <tableColumns count="2">
    <tableColumn id="1" xr3:uid="{E97D0BD8-7083-4821-AE49-8334B7F27D14}" name="Mentions" totalsRowFunction="custom" totalsRowDxfId="179">
      <calculatedColumnFormula>COUNTIF(Tabelle12265397112116120129137141145[[#All],[Merged Theme]],Tabelle10951259109113117126134138142[[#This Row],[Merged Theme]])</calculatedColumnFormula>
      <totalsRowFormula>SUM(Tabelle10951259109113117126134138142[Mentions])</totalsRowFormula>
    </tableColumn>
    <tableColumn id="2" xr3:uid="{B2AF6F6D-5410-4742-8EFC-B63B71E2A9B1}" name="Merged Theme" totalsRowDxfId="178"/>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3DB729F6-3D3B-4C25-B70F-589A73459CDC}" name="Tabelle10911152394110114118127135139143" displayName="Tabelle10911152394110114118127135139143" ref="I15:J22" totalsRowCount="1" headerRowDxfId="177" totalsRowDxfId="176" totalsRowBorderDxfId="175">
  <autoFilter ref="I15:J21" xr:uid="{A532EBA6-C54B-4469-A0DD-BAFC68807899}"/>
  <sortState xmlns:xlrd2="http://schemas.microsoft.com/office/spreadsheetml/2017/richdata2" ref="I16:J21">
    <sortCondition descending="1" ref="I15:I21"/>
  </sortState>
  <tableColumns count="2">
    <tableColumn id="1" xr3:uid="{148B7C3B-5EDB-48D2-BD84-9CEF985DC83E}" name="Mentions" totalsRowFunction="custom" dataDxfId="174" totalsRowDxfId="173">
      <calculatedColumnFormula>COUNTIF(Tabelle12265397112116120129137141145[A - Theme],Tabelle10911152394110114118127135139143[[#This Row],[Theme]])</calculatedColumnFormula>
      <totalsRowFormula>SUM(Tabelle10911152394110114118127135139143[Mentions])</totalsRowFormula>
    </tableColumn>
    <tableColumn id="2" xr3:uid="{A880EBBD-9717-43CB-964B-B50D17EEC251}" name="Theme" dataDxfId="172" totalsRowDxfId="171"/>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4BACCBB6-CD27-4DB1-BA33-21B66CC33ECB}" name="Tabelle10911111258796111115119128136140144" displayName="Tabelle10911111258796111115119128136140144" ref="I26:J34" totalsRowCount="1" headerRowDxfId="170" totalsRowDxfId="169" totalsRowBorderDxfId="168">
  <autoFilter ref="I26:J33" xr:uid="{FB6772AD-3306-4916-895E-F66D009BB851}"/>
  <sortState xmlns:xlrd2="http://schemas.microsoft.com/office/spreadsheetml/2017/richdata2" ref="I27:J32">
    <sortCondition descending="1" ref="I26:I32"/>
  </sortState>
  <tableColumns count="2">
    <tableColumn id="1" xr3:uid="{A70AE01B-6791-4D09-A500-DABEBDE1CD89}" name="Mentions" totalsRowFunction="custom" dataDxfId="167" totalsRowDxfId="166">
      <calculatedColumnFormula>COUNTIF(Tabelle12265397112116120129137141145[B - Theme],Tabelle10911111258796111115119128136140144[[#This Row],[Theme]])</calculatedColumnFormula>
      <totalsRowFormula>SUM(Tabelle10911111258796111115119128136140144[Mentions])</totalsRowFormula>
    </tableColumn>
    <tableColumn id="2" xr3:uid="{0527D5DD-1C05-4D82-BF63-EA5194D79503}" name="Theme" dataDxfId="165" totalsRowDxfId="164"/>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F99F494A-2A4B-4CA3-B5F6-6B4AE9DFF257}" name="Tabelle12265397112116120129137141145" displayName="Tabelle12265397112116120129137141145" ref="B3:G109" totalsRowShown="0" headerRowDxfId="163" dataDxfId="162">
  <autoFilter ref="B3:G109" xr:uid="{8EE4C5ED-C8C4-4BC7-BD36-1F8879043B7A}"/>
  <tableColumns count="6">
    <tableColumn id="2" xr3:uid="{4CAB2869-7CA4-4197-A2B8-31EB7B0280D6}" name="A - Code" dataDxfId="161"/>
    <tableColumn id="3" xr3:uid="{71A139E6-C3E1-450A-B17E-92AF188475A3}" name="A - Theme" dataDxfId="160"/>
    <tableColumn id="5" xr3:uid="{67B1EBC3-AD79-4E4A-B101-A69B40EF68F3}" name="B - Code" dataDxfId="159"/>
    <tableColumn id="6" xr3:uid="{4B0710AB-E1C0-4159-8C84-6BD364F70133}" name="B - Theme" dataDxfId="158"/>
    <tableColumn id="9" xr3:uid="{C993760F-826B-4DA5-884C-B96367FABE55}" name="Merged Theme" dataDxfId="157"/>
    <tableColumn id="1" xr3:uid="{C5C72D3C-48F0-4BD8-8EC1-C1DC092AC3EE}" name="Pos/Neg" dataDxfId="156"/>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2BBC2E46-582A-48BA-8C85-20E1620233D0}" name="Tabelle10951259109113117126134138146" displayName="Tabelle10951259109113117126134138146" ref="I3:J9" totalsRowCount="1" headerRowDxfId="155" totalsRowDxfId="154" totalsRowBorderDxfId="153">
  <autoFilter ref="I3:J8" xr:uid="{25D41762-47B0-4A76-A86F-A2CBC3FC865A}"/>
  <sortState xmlns:xlrd2="http://schemas.microsoft.com/office/spreadsheetml/2017/richdata2" ref="I4:J8">
    <sortCondition descending="1" ref="I3:I8"/>
  </sortState>
  <tableColumns count="2">
    <tableColumn id="1" xr3:uid="{8B9D3A5B-E892-4ADF-AF76-D02A65AB121A}" name="Mentions" totalsRowFunction="custom" totalsRowDxfId="152">
      <calculatedColumnFormula>COUNTIF(Tabelle12265397112116120129137141149[[#All],[Merged Theme]],Tabelle10951259109113117126134138146[[#This Row],[Merged Theme]])</calculatedColumnFormula>
      <totalsRowFormula>SUM(Tabelle10951259109113117126134138146[Mentions])</totalsRowFormula>
    </tableColumn>
    <tableColumn id="2" xr3:uid="{559C6DA6-7446-4E86-AD81-58452F7D09E8}" name="Merged Theme" totalsRowDxfId="151"/>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D9112D9D-C373-4004-977A-0118430313FF}" name="Tabelle10911152394110114118127135139147" displayName="Tabelle10911152394110114118127135139147" ref="I13:J19" totalsRowCount="1" headerRowDxfId="150" totalsRowDxfId="149" totalsRowBorderDxfId="148">
  <autoFilter ref="I13:J18" xr:uid="{A532EBA6-C54B-4469-A0DD-BAFC68807899}"/>
  <sortState xmlns:xlrd2="http://schemas.microsoft.com/office/spreadsheetml/2017/richdata2" ref="I14:J18">
    <sortCondition descending="1" ref="I13:I18"/>
  </sortState>
  <tableColumns count="2">
    <tableColumn id="1" xr3:uid="{DF3B479A-D050-470F-ABB0-63DD942321F5}" name="Mentions" totalsRowFunction="custom" dataDxfId="147" totalsRowDxfId="146">
      <calculatedColumnFormula>COUNTIF(Tabelle12265397112116120129137141149[A - Theme],Tabelle10911152394110114118127135139147[[#This Row],[Theme]])</calculatedColumnFormula>
      <totalsRowFormula>SUM(Tabelle10911152394110114118127135139147[Mentions])</totalsRowFormula>
    </tableColumn>
    <tableColumn id="2" xr3:uid="{62813A15-BA13-402D-8BC9-9985AEAC63E6}" name="Theme" dataDxfId="145" totalsRowDxfId="144"/>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4AAAB004-3654-4D93-8125-96EE59951F3C}" name="Tabelle10911111258796111115119128136140148" displayName="Tabelle10911111258796111115119128136140148" ref="I23:J28" totalsRowCount="1" headerRowDxfId="143" totalsRowDxfId="142" totalsRowBorderDxfId="141">
  <autoFilter ref="I23:J27" xr:uid="{FB6772AD-3306-4916-895E-F66D009BB851}"/>
  <sortState xmlns:xlrd2="http://schemas.microsoft.com/office/spreadsheetml/2017/richdata2" ref="I24:J27">
    <sortCondition descending="1" ref="I23:I27"/>
  </sortState>
  <tableColumns count="2">
    <tableColumn id="1" xr3:uid="{89EB3D1C-4D35-4AAA-8378-4106378FF7E7}" name="Mentions" totalsRowFunction="custom" dataDxfId="140" totalsRowDxfId="139">
      <calculatedColumnFormula>COUNTIF(Tabelle12265397112116120129137141149[B - Theme],Tabelle10911111258796111115119128136140148[[#This Row],[Theme]])</calculatedColumnFormula>
      <totalsRowFormula>SUM(Tabelle10911111258796111115119128136140148[Mentions])</totalsRowFormula>
    </tableColumn>
    <tableColumn id="2" xr3:uid="{6972798C-40E1-4AE5-B9CF-977F5A2326D8}" name="Theme" dataDxfId="138" totalsRowDxfId="137"/>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C7D854ED-48CC-45DE-B3EF-8A57684E9312}" name="Tabelle12265397112116120129137141149" displayName="Tabelle12265397112116120129137141149" ref="B3:G67" totalsRowShown="0" headerRowDxfId="136" dataDxfId="135">
  <autoFilter ref="B3:G67" xr:uid="{8EE4C5ED-C8C4-4BC7-BD36-1F8879043B7A}"/>
  <tableColumns count="6">
    <tableColumn id="2" xr3:uid="{AF0F7E91-5EC9-41F8-8C89-550141D0E88F}" name="A - Code" dataDxfId="134"/>
    <tableColumn id="3" xr3:uid="{4FAAF5B5-C37E-43BC-B257-CA2E9E5709DC}" name="A - Theme" dataDxfId="133"/>
    <tableColumn id="5" xr3:uid="{B3626CDB-3135-4B22-BF81-6B9E014FBB05}" name="B - Code" dataDxfId="132"/>
    <tableColumn id="6" xr3:uid="{4A055A76-6E1F-4A83-996F-4A7A025E77EE}" name="B - Theme" dataDxfId="131"/>
    <tableColumn id="9" xr3:uid="{73FEC84A-2B39-42A5-BFC5-C256D3F358DC}" name="Merged Theme" dataDxfId="130"/>
    <tableColumn id="1" xr3:uid="{A7FEC9A6-671D-4A11-B07A-E2B1938D750F}" name="Pos/Neg" dataDxfId="129"/>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E27DA238-4943-476D-82E2-FC2B865508D6}" name="Tabelle10951259109113117126134138146150" displayName="Tabelle10951259109113117126134138146150" ref="I3:J7" totalsRowCount="1" headerRowDxfId="128" totalsRowDxfId="127" totalsRowBorderDxfId="126">
  <autoFilter ref="I3:J6" xr:uid="{25D41762-47B0-4A76-A86F-A2CBC3FC865A}"/>
  <sortState xmlns:xlrd2="http://schemas.microsoft.com/office/spreadsheetml/2017/richdata2" ref="I4:J6">
    <sortCondition descending="1" ref="I3:I6"/>
  </sortState>
  <tableColumns count="2">
    <tableColumn id="1" xr3:uid="{C9F42A17-50AF-4124-8713-302244106115}" name="Mentions" totalsRowFunction="custom" totalsRowDxfId="125">
      <calculatedColumnFormula>COUNTIF(Tabelle12265397112116120129137141149153[[#All],[Merged Theme]],Tabelle10951259109113117126134138146150[[#This Row],[Merged Theme]])</calculatedColumnFormula>
      <totalsRowFormula>SUM(Tabelle10951259109113117126134138146150[Mentions])</totalsRowFormula>
    </tableColumn>
    <tableColumn id="2" xr3:uid="{7DA0BFED-3CC3-4FBE-ABE4-DDE30E47853E}" name="Merged Theme" dataDxfId="124" totalsRowDxfId="123"/>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5FD23F09-4E22-4D9D-ACC0-E48C092391AA}" name="Tabelle10911152394110114118127135139147151" displayName="Tabelle10911152394110114118127135139147151" ref="I11:J15" totalsRowCount="1" headerRowDxfId="122" totalsRowDxfId="121" totalsRowBorderDxfId="120">
  <autoFilter ref="I11:J14" xr:uid="{A532EBA6-C54B-4469-A0DD-BAFC68807899}"/>
  <sortState xmlns:xlrd2="http://schemas.microsoft.com/office/spreadsheetml/2017/richdata2" ref="I12:J14">
    <sortCondition descending="1" ref="I11:I14"/>
  </sortState>
  <tableColumns count="2">
    <tableColumn id="1" xr3:uid="{D068EB42-40C6-4E01-816F-33A37858AA31}" name="Mentions" totalsRowFunction="custom" dataDxfId="119" totalsRowDxfId="118">
      <calculatedColumnFormula>COUNTIF(Tabelle12265397112116120129137141149153[A - Theme],Tabelle10911152394110114118127135139147151[[#This Row],[Theme]])</calculatedColumnFormula>
      <totalsRowFormula>SUM(Tabelle10911152394110114118127135139147151[Mentions])</totalsRowFormula>
    </tableColumn>
    <tableColumn id="2" xr3:uid="{BBCCD0C8-8AE5-41A5-B213-E6B0DA1D62AA}" name="Theme" dataDxfId="117" totalsRowDxfId="116"/>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81316334-4AAC-463B-AEA8-51842C787FC7}" name="Tabelle10911111258796111115119128136140148152" displayName="Tabelle10911111258796111115119128136140148152" ref="I19:J24" totalsRowCount="1" headerRowDxfId="115" totalsRowDxfId="114" totalsRowBorderDxfId="113">
  <autoFilter ref="I19:J23" xr:uid="{FB6772AD-3306-4916-895E-F66D009BB851}"/>
  <sortState xmlns:xlrd2="http://schemas.microsoft.com/office/spreadsheetml/2017/richdata2" ref="I20:J23">
    <sortCondition descending="1" ref="I19:I23"/>
  </sortState>
  <tableColumns count="2">
    <tableColumn id="1" xr3:uid="{9E476289-A770-4F18-9899-D3D5CCF2A7B0}" name="Mentions" totalsRowFunction="custom" dataDxfId="112" totalsRowDxfId="111">
      <calculatedColumnFormula>COUNTIF(Tabelle12265397112116120129137141149153[B - Theme],Tabelle10911111258796111115119128136140148152[[#This Row],[Theme]])</calculatedColumnFormula>
      <totalsRowFormula>SUM(Tabelle10911111258796111115119128136140148152[Mentions])</totalsRowFormula>
    </tableColumn>
    <tableColumn id="2" xr3:uid="{8715635E-5B06-4486-8E41-B7BD2081385C}" name="Theme" dataDxfId="110" totalsRowDxfId="109"/>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5E4D6035-909C-4156-9692-4FC04800B3CB}" name="Tabelle12265397112116120129137141149153" displayName="Tabelle12265397112116120129137141149153" ref="B3:G80" totalsRowShown="0" headerRowDxfId="108" dataDxfId="107">
  <autoFilter ref="B3:G80" xr:uid="{8EE4C5ED-C8C4-4BC7-BD36-1F8879043B7A}"/>
  <tableColumns count="6">
    <tableColumn id="2" xr3:uid="{6DC72AAD-3366-42D5-ABE8-DA9D23542BCD}" name="A - Code" dataDxfId="106"/>
    <tableColumn id="3" xr3:uid="{189E64A4-848A-4177-808F-807C0010AD45}" name="A - Theme" dataDxfId="105"/>
    <tableColumn id="5" xr3:uid="{9EE09373-FE15-4D03-8CAA-D6A952D5E13C}" name="B - Code" dataDxfId="104"/>
    <tableColumn id="6" xr3:uid="{1FE1DE11-0E34-43AD-8A9C-1F90E48416CE}" name="B - Theme" dataDxfId="103"/>
    <tableColumn id="9" xr3:uid="{E099411B-B4D2-4A45-A6C6-ED47D1F126AF}" name="Merged Theme" dataDxfId="102"/>
    <tableColumn id="1" xr3:uid="{CE3FF3C3-1D48-499D-93CC-EFC125F43736}" name="Pos/Neg" dataDxfId="101"/>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47721FBD-BB1E-4EB9-80BB-22BE9C3FC206}" name="Tabelle10951259109113117126134138146150154" displayName="Tabelle10951259109113117126134138146150154" ref="K3:L7" totalsRowCount="1" headerRowDxfId="100" totalsRowDxfId="99" totalsRowBorderDxfId="98">
  <autoFilter ref="K3:L6" xr:uid="{25D41762-47B0-4A76-A86F-A2CBC3FC865A}"/>
  <sortState xmlns:xlrd2="http://schemas.microsoft.com/office/spreadsheetml/2017/richdata2" ref="K4:L6">
    <sortCondition descending="1" ref="K3:K6"/>
  </sortState>
  <tableColumns count="2">
    <tableColumn id="1" xr3:uid="{390DB313-639A-462E-B3FA-2F131E4CFA57}" name="Mentions" totalsRowFunction="custom" totalsRowDxfId="97">
      <calculatedColumnFormula>COUNTIF(Tabelle12265397112116120129137141149153157[[#All],[Merged Theme]],Tabelle10951259109113117126134138146150154[[#This Row],[Merged Theme]])</calculatedColumnFormula>
      <totalsRowFormula>SUM(Tabelle10951259109113117126134138146150154[Mentions])</totalsRowFormula>
    </tableColumn>
    <tableColumn id="2" xr3:uid="{DBE5A59D-22BE-45FD-96C3-6F59EB21F380}" name="Merged Theme" dataDxfId="96" totalsRowDxfId="95"/>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19E47C0-7B23-49F0-A85E-08CF85645582}" name="Tabelle10911152394110114118127135139147151155" displayName="Tabelle10911152394110114118127135139147151155" ref="K11:L15" totalsRowCount="1" headerRowDxfId="94" totalsRowDxfId="93" totalsRowBorderDxfId="92">
  <autoFilter ref="K11:L14" xr:uid="{A532EBA6-C54B-4469-A0DD-BAFC68807899}"/>
  <sortState xmlns:xlrd2="http://schemas.microsoft.com/office/spreadsheetml/2017/richdata2" ref="K12:L14">
    <sortCondition descending="1" ref="K11:K14"/>
  </sortState>
  <tableColumns count="2">
    <tableColumn id="1" xr3:uid="{E4C01DD8-B9C0-4A7D-A8F4-F4019C96E5B1}" name="Mentions" totalsRowFunction="custom" dataDxfId="91" totalsRowDxfId="90">
      <calculatedColumnFormula>COUNTIF(Tabelle12265397112116120129137141149153157[A - Theme],Tabelle10911152394110114118127135139147151155[[#This Row],[Theme]])</calculatedColumnFormula>
      <totalsRowFormula>SUM(Tabelle10911152394110114118127135139147151155[Mentions])</totalsRowFormula>
    </tableColumn>
    <tableColumn id="2" xr3:uid="{CA5D6AB3-C852-4992-B305-9C40E10B06ED}" name="Theme" dataDxfId="89" totalsRowDxfId="88"/>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C04B549F-A3EE-4E16-8C08-792C596FDD7E}" name="Tabelle10911111258796111115119128136140148152156" displayName="Tabelle10911111258796111115119128136140148152156" ref="K19:L27" totalsRowCount="1" headerRowDxfId="87" totalsRowDxfId="86" totalsRowBorderDxfId="85">
  <autoFilter ref="K19:L26" xr:uid="{FB6772AD-3306-4916-895E-F66D009BB851}"/>
  <sortState xmlns:xlrd2="http://schemas.microsoft.com/office/spreadsheetml/2017/richdata2" ref="K20:L23">
    <sortCondition descending="1" ref="K19:K23"/>
  </sortState>
  <tableColumns count="2">
    <tableColumn id="1" xr3:uid="{AC7BD849-2D68-4D4A-AD5E-4E96761A56EF}" name="Mentions" totalsRowFunction="custom" dataDxfId="84" totalsRowDxfId="83">
      <calculatedColumnFormula>COUNTIF(Tabelle12265397112116120129137141149153157[B - Theme],Tabelle10911111258796111115119128136140148152156[[#This Row],[Theme]])</calculatedColumnFormula>
      <totalsRowFormula>SUM(Tabelle10911111258796111115119128136140148152156[Mentions])</totalsRowFormula>
    </tableColumn>
    <tableColumn id="2" xr3:uid="{9250BF3D-668A-4E37-B597-5EB572355CC7}" name="Theme" dataDxfId="82" totalsRowDxfId="81"/>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9C9D650D-9584-401A-A190-1984B9DFD76E}" name="Tabelle12265397112116120129137141149153157" displayName="Tabelle12265397112116120129137141149153157" ref="D3:I42" totalsRowShown="0" headerRowDxfId="80" dataDxfId="79">
  <autoFilter ref="D3:I42" xr:uid="{8EE4C5ED-C8C4-4BC7-BD36-1F8879043B7A}"/>
  <tableColumns count="6">
    <tableColumn id="2" xr3:uid="{CA866B13-CFC7-46D6-BFDF-6366EFCD8D33}" name="A - Code" dataDxfId="78"/>
    <tableColumn id="3" xr3:uid="{4D6F3B08-B245-4C18-A10B-8B5C10C23B42}" name="A - Theme" dataDxfId="77"/>
    <tableColumn id="5" xr3:uid="{B7683EB5-E1B1-4017-97F0-1341BD9B62BA}" name="B - Code" dataDxfId="76"/>
    <tableColumn id="6" xr3:uid="{5A83826F-564B-4DC0-9B61-1E65890E4666}" name="B - Theme" dataDxfId="75"/>
    <tableColumn id="9" xr3:uid="{8D760BDF-E3F7-4601-A8D0-79928D5931A2}" name="Merged Theme" dataDxfId="74"/>
    <tableColumn id="1" xr3:uid="{92C6CDE7-FD5B-4601-8ED0-0A2CCD884B56}" name="Pos/Neg" dataDxfId="73"/>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D000000}" name="Tabelle24149" displayName="Tabelle24149" ref="A5:D25" totalsRowShown="0">
  <autoFilter ref="A5:D25" xr:uid="{00000000-0009-0000-0100-00000F000000}"/>
  <tableColumns count="4">
    <tableColumn id="1" xr3:uid="{00000000-0010-0000-1D00-000001000000}" name="Utterance" dataDxfId="72"/>
    <tableColumn id="2" xr3:uid="{00000000-0010-0000-1D00-000002000000}" name="Code" dataDxfId="71"/>
    <tableColumn id="3" xr3:uid="{00000000-0010-0000-1D00-000003000000}" name="Theme" dataDxfId="70"/>
    <tableColumn id="4" xr3:uid="{00000000-0010-0000-1D00-000004000000}" name="Pos/Neg" dataDxfId="69"/>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1E000000}" name="Tabelle323435362629373839" displayName="Tabelle323435362629373839" ref="F5:G10" totalsRowShown="0" headerRowDxfId="68">
  <autoFilter ref="F5:G10" xr:uid="{00000000-0009-0000-0100-000026000000}"/>
  <tableColumns count="2">
    <tableColumn id="1" xr3:uid="{00000000-0010-0000-1E00-000001000000}" name="Mentions" dataDxfId="67"/>
    <tableColumn id="2" xr3:uid="{00000000-0010-0000-1E00-000002000000}" name="Theme" dataDxfId="66"/>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F000000}" name="Tabelle2414918" displayName="Tabelle2414918" ref="A5:D25" totalsRowShown="0">
  <autoFilter ref="A5:D25" xr:uid="{00000000-0009-0000-0100-000016000000}"/>
  <tableColumns count="4">
    <tableColumn id="1" xr3:uid="{00000000-0010-0000-1F00-000001000000}" name="Utterance" dataDxfId="65"/>
    <tableColumn id="2" xr3:uid="{00000000-0010-0000-1F00-000002000000}" name="Code" dataDxfId="64"/>
    <tableColumn id="3" xr3:uid="{00000000-0010-0000-1F00-000003000000}" name="Theme" dataDxfId="63"/>
    <tableColumn id="4" xr3:uid="{00000000-0010-0000-1F00-000004000000}" name="Pos/Neg" dataDxfId="62"/>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0000000}" name="Tabelle32343536262937383940" displayName="Tabelle32343536262937383940" ref="F5:G10" totalsRowShown="0" headerRowDxfId="61">
  <autoFilter ref="F5:G10" xr:uid="{00000000-0009-0000-0100-000027000000}"/>
  <tableColumns count="2">
    <tableColumn id="1" xr3:uid="{00000000-0010-0000-2000-000001000000}" name="Mentions" dataDxfId="60"/>
    <tableColumn id="2" xr3:uid="{00000000-0010-0000-2000-000002000000}" name="Theme" dataDxfId="59"/>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21000000}" name="Tabelle2414915" displayName="Tabelle2414915" ref="A5:D25" totalsRowShown="0">
  <autoFilter ref="A5:D25" xr:uid="{00000000-0009-0000-0100-000010000000}"/>
  <tableColumns count="4">
    <tableColumn id="1" xr3:uid="{00000000-0010-0000-2100-000001000000}" name="Utterance"/>
    <tableColumn id="2" xr3:uid="{00000000-0010-0000-2100-000002000000}" name="Code" dataDxfId="58"/>
    <tableColumn id="3" xr3:uid="{00000000-0010-0000-2100-000003000000}" name="Theme" dataDxfId="57"/>
    <tableColumn id="4" xr3:uid="{00000000-0010-0000-2100-000004000000}" name="Pos/Neg" dataDxfId="56"/>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2000000}" name="Tabelle3234353626293738394041" displayName="Tabelle3234353626293738394041" ref="F5:G9" totalsRowShown="0" headerRowDxfId="55">
  <autoFilter ref="F5:G9" xr:uid="{00000000-0009-0000-0100-000028000000}"/>
  <tableColumns count="2">
    <tableColumn id="1" xr3:uid="{00000000-0010-0000-2200-000001000000}" name="Mentions" dataDxfId="54"/>
    <tableColumn id="2" xr3:uid="{00000000-0010-0000-2200-000002000000}" name="Theme" dataDxfId="53"/>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23000000}" name="Tabelle241491519" displayName="Tabelle241491519" ref="A5:D25" totalsRowShown="0">
  <autoFilter ref="A5:D25" xr:uid="{00000000-0009-0000-0100-000011000000}"/>
  <tableColumns count="4">
    <tableColumn id="1" xr3:uid="{00000000-0010-0000-2300-000001000000}" name="Utterance" dataDxfId="52"/>
    <tableColumn id="2" xr3:uid="{00000000-0010-0000-2300-000002000000}" name="Code" dataDxfId="51"/>
    <tableColumn id="3" xr3:uid="{00000000-0010-0000-2300-000003000000}" name="Theme" dataDxfId="50"/>
    <tableColumn id="4" xr3:uid="{00000000-0010-0000-2300-000004000000}" name="Pos/Neg" dataDxfId="49"/>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4000000}" name="Tabelle323435362629373839404142" displayName="Tabelle323435362629373839404142" ref="F5:G9" totalsRowShown="0" headerRowDxfId="48">
  <autoFilter ref="F5:G9" xr:uid="{00000000-0009-0000-0100-000029000000}"/>
  <tableColumns count="2">
    <tableColumn id="1" xr3:uid="{00000000-0010-0000-2400-000001000000}" name="Mentions" dataDxfId="47"/>
    <tableColumn id="2" xr3:uid="{00000000-0010-0000-2400-000002000000}" name="Theme" dataDxfId="46"/>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25000000}" name="Tabelle2414916" displayName="Tabelle2414916" ref="A5:E41" totalsRowShown="0" headerRowDxfId="45">
  <autoFilter ref="A5:E41" xr:uid="{00000000-0009-0000-0100-000012000000}"/>
  <tableColumns count="5">
    <tableColumn id="1" xr3:uid="{00000000-0010-0000-2500-000001000000}" name="Utterance" dataDxfId="44"/>
    <tableColumn id="2" xr3:uid="{00000000-0010-0000-2500-000002000000}" name="Comment on correctness" dataDxfId="43"/>
    <tableColumn id="3" xr3:uid="{00000000-0010-0000-2500-000003000000}" name="Code" dataDxfId="42"/>
    <tableColumn id="4" xr3:uid="{00000000-0010-0000-2500-000004000000}" name="Theme" dataDxfId="41"/>
    <tableColumn id="5" xr3:uid="{00000000-0010-0000-2500-000005000000}" name="Pos/Neg" dataDxfId="40"/>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6000000}" name="Tabelle32343536262937383940414243" displayName="Tabelle32343536262937383940414243" ref="H5:I9" totalsRowShown="0" headerRowDxfId="39">
  <autoFilter ref="H5:I9" xr:uid="{00000000-0009-0000-0100-00002A000000}"/>
  <tableColumns count="2">
    <tableColumn id="1" xr3:uid="{00000000-0010-0000-2600-000001000000}" name="Mentions" dataDxfId="38"/>
    <tableColumn id="2" xr3:uid="{00000000-0010-0000-2600-000002000000}" name="Comment on correctness"/>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7000000}" name="Tabelle32343536262937383940414247" displayName="Tabelle32343536262937383940414247" ref="H12:I17" totalsRowShown="0" headerRowDxfId="37">
  <autoFilter ref="H12:I17" xr:uid="{00000000-0009-0000-0100-00002E000000}"/>
  <tableColumns count="2">
    <tableColumn id="1" xr3:uid="{00000000-0010-0000-2700-000001000000}" name="Mentions" dataDxfId="36"/>
    <tableColumn id="2" xr3:uid="{00000000-0010-0000-2700-000002000000}" name="Theme" dataDxfId="35"/>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28000000}" name="Tabelle241491620" displayName="Tabelle241491620" ref="A5:E51" totalsRowShown="0">
  <autoFilter ref="A5:E51" xr:uid="{00000000-0009-0000-0100-000013000000}"/>
  <tableColumns count="5">
    <tableColumn id="1" xr3:uid="{00000000-0010-0000-2800-000001000000}" name="Utterance"/>
    <tableColumn id="2" xr3:uid="{00000000-0010-0000-2800-000002000000}" name="Comment on correctness" dataDxfId="34"/>
    <tableColumn id="3" xr3:uid="{00000000-0010-0000-2800-000003000000}" name="Code" dataDxfId="33"/>
    <tableColumn id="4" xr3:uid="{00000000-0010-0000-2800-000004000000}" name="Theme" dataDxfId="32"/>
    <tableColumn id="5" xr3:uid="{00000000-0010-0000-2800-000005000000}" name="Pos/Neg" dataDxfId="31"/>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9000000}" name="Tabelle3234353626293738394041424344" displayName="Tabelle3234353626293738394041424344" ref="H5:I9" totalsRowShown="0" headerRowDxfId="30">
  <autoFilter ref="H5:I9" xr:uid="{00000000-0009-0000-0100-00002B000000}"/>
  <tableColumns count="2">
    <tableColumn id="1" xr3:uid="{00000000-0010-0000-2900-000001000000}" name="Mentions" dataDxfId="29"/>
    <tableColumn id="2" xr3:uid="{00000000-0010-0000-2900-000002000000}" name="Comment on correctness"/>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A000000}" name="Tabelle3234353626293738394041424748" displayName="Tabelle3234353626293738394041424748" ref="H12:I17" totalsRowCount="1" headerRowDxfId="28" totalsRowBorderDxfId="27">
  <autoFilter ref="H12:I16" xr:uid="{00000000-0009-0000-0100-00002F000000}"/>
  <sortState xmlns:xlrd2="http://schemas.microsoft.com/office/spreadsheetml/2017/richdata2" ref="H13:I16">
    <sortCondition descending="1" ref="H12:H16"/>
  </sortState>
  <tableColumns count="2">
    <tableColumn id="1" xr3:uid="{00000000-0010-0000-2A00-000001000000}" name="Mentions" totalsRowFunction="custom" dataDxfId="26" totalsRowDxfId="25">
      <totalsRowFormula>SUM(Tabelle3234353626293738394041424748[Mentions])</totalsRowFormula>
    </tableColumn>
    <tableColumn id="2" xr3:uid="{00000000-0010-0000-2A00-000002000000}" name="Theme" dataDxfId="24" totalsRowDxfId="23"/>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2B000000}" name="Tabelle2414917" displayName="Tabelle2414917" ref="A5:E64" totalsRowShown="0" headerRowDxfId="22">
  <autoFilter ref="A5:E64" xr:uid="{00000000-0009-0000-0100-000014000000}"/>
  <tableColumns count="5">
    <tableColumn id="1" xr3:uid="{00000000-0010-0000-2B00-000001000000}" name="Utterance"/>
    <tableColumn id="2" xr3:uid="{00000000-0010-0000-2B00-000002000000}" name="Comments on correctness" dataDxfId="21"/>
    <tableColumn id="3" xr3:uid="{00000000-0010-0000-2B00-000003000000}" name="Code" dataDxfId="20"/>
    <tableColumn id="4" xr3:uid="{00000000-0010-0000-2B00-000004000000}" name="Theme" dataDxfId="19"/>
    <tableColumn id="5" xr3:uid="{00000000-0010-0000-2B00-000005000000}" name="Pos/Neg" dataDxfId="18"/>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C000000}" name="Tabelle3234353626293738394041424345" displayName="Tabelle3234353626293738394041424345" ref="H5:I9" totalsRowShown="0" headerRowDxfId="17">
  <autoFilter ref="H5:I9" xr:uid="{00000000-0009-0000-0100-00002C000000}"/>
  <tableColumns count="2">
    <tableColumn id="1" xr3:uid="{00000000-0010-0000-2C00-000001000000}" name="Mentions" dataDxfId="16"/>
    <tableColumn id="2" xr3:uid="{00000000-0010-0000-2C00-000002000000}" name="Utterance"/>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elle323435362629373839404142474849" displayName="Tabelle323435362629373839404142474849" ref="H12:I18" totalsRowShown="0" headerRowDxfId="15">
  <autoFilter ref="H12:I18" xr:uid="{00000000-0009-0000-0100-000030000000}"/>
  <tableColumns count="2">
    <tableColumn id="1" xr3:uid="{00000000-0010-0000-2D00-000001000000}" name="Mentions" dataDxfId="14"/>
    <tableColumn id="2" xr3:uid="{00000000-0010-0000-2D00-000002000000}" name="Theme" dataDxfId="13"/>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2E000000}" name="Tabelle241491721" displayName="Tabelle241491721" ref="A5:E40" totalsRowShown="0" headerRowDxfId="12">
  <autoFilter ref="A5:E40" xr:uid="{00000000-0009-0000-0100-000015000000}"/>
  <tableColumns count="5">
    <tableColumn id="1" xr3:uid="{00000000-0010-0000-2E00-000001000000}" name="Utterance"/>
    <tableColumn id="2" xr3:uid="{00000000-0010-0000-2E00-000002000000}" name="Comments on correctness" dataDxfId="11"/>
    <tableColumn id="3" xr3:uid="{00000000-0010-0000-2E00-000003000000}" name="Code" dataDxfId="10"/>
    <tableColumn id="4" xr3:uid="{00000000-0010-0000-2E00-000004000000}" name="Theme" dataDxfId="9"/>
    <tableColumn id="5" xr3:uid="{00000000-0010-0000-2E00-000005000000}" name="Pos/Neg" dataDxfId="8"/>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F000000}" name="Tabelle323435362629373839404142434546" displayName="Tabelle323435362629373839404142434546" ref="H5:I9" totalsRowShown="0" headerRowDxfId="7">
  <autoFilter ref="H5:I9" xr:uid="{00000000-0009-0000-0100-00002D000000}"/>
  <tableColumns count="2">
    <tableColumn id="1" xr3:uid="{00000000-0010-0000-2F00-000001000000}" name="Mentions" dataDxfId="6"/>
    <tableColumn id="2" xr3:uid="{00000000-0010-0000-2F00-000002000000}" name="Utterance"/>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elle32343536262937383940414247484950" displayName="Tabelle32343536262937383940414247484950" ref="H12:I18" totalsRowCount="1" headerRowDxfId="5" totalsRowBorderDxfId="4">
  <autoFilter ref="H12:I17" xr:uid="{00000000-0009-0000-0100-000031000000}"/>
  <sortState xmlns:xlrd2="http://schemas.microsoft.com/office/spreadsheetml/2017/richdata2" ref="H13:I17">
    <sortCondition descending="1" ref="H12:H17"/>
  </sortState>
  <tableColumns count="2">
    <tableColumn id="1" xr3:uid="{00000000-0010-0000-3000-000001000000}" name="Mentions" totalsRowFunction="custom" dataDxfId="3" totalsRowDxfId="2">
      <totalsRowFormula>SUM(H13:H17)</totalsRowFormula>
    </tableColumn>
    <tableColumn id="2" xr3:uid="{00000000-0010-0000-3000-000002000000}" name="Theme" dataDxfId="1" totalsRow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 Id="rId4" Type="http://schemas.openxmlformats.org/officeDocument/2006/relationships/table" Target="../tables/table20.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table" Target="../tables/table21.xml"/><Relationship Id="rId4" Type="http://schemas.openxmlformats.org/officeDocument/2006/relationships/table" Target="../tables/table2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table" Target="../tables/table25.xml"/><Relationship Id="rId4" Type="http://schemas.openxmlformats.org/officeDocument/2006/relationships/table" Target="../tables/table2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table" Target="../tables/table29.xml"/><Relationship Id="rId4" Type="http://schemas.openxmlformats.org/officeDocument/2006/relationships/table" Target="../tables/table3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table" Target="../tables/table33.xml"/><Relationship Id="rId4" Type="http://schemas.openxmlformats.org/officeDocument/2006/relationships/table" Target="../tables/table3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table" Target="../tables/table37.xml"/><Relationship Id="rId4" Type="http://schemas.openxmlformats.org/officeDocument/2006/relationships/table" Target="../tables/table4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table" Target="../tables/table41.xml"/><Relationship Id="rId4" Type="http://schemas.openxmlformats.org/officeDocument/2006/relationships/table" Target="../tables/table44.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table" Target="../tables/table45.xml"/><Relationship Id="rId4" Type="http://schemas.openxmlformats.org/officeDocument/2006/relationships/table" Target="../tables/table4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table" Target="../tables/table49.xml"/><Relationship Id="rId4" Type="http://schemas.openxmlformats.org/officeDocument/2006/relationships/table" Target="../tables/table5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table" Target="../tables/table54.xml"/><Relationship Id="rId1" Type="http://schemas.openxmlformats.org/officeDocument/2006/relationships/table" Target="../tables/table53.xml"/><Relationship Id="rId4" Type="http://schemas.openxmlformats.org/officeDocument/2006/relationships/table" Target="../tables/table5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table" Target="../tables/table57.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60.xml"/><Relationship Id="rId2" Type="http://schemas.openxmlformats.org/officeDocument/2006/relationships/table" Target="../tables/table59.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62.xml"/><Relationship Id="rId2" Type="http://schemas.openxmlformats.org/officeDocument/2006/relationships/table" Target="../tables/table61.x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64.xml"/><Relationship Id="rId2" Type="http://schemas.openxmlformats.org/officeDocument/2006/relationships/table" Target="../tables/table63.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printerSettings" Target="../printerSettings/printerSettings6.bin"/><Relationship Id="rId4" Type="http://schemas.openxmlformats.org/officeDocument/2006/relationships/table" Target="../tables/table67.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69.xml"/><Relationship Id="rId2" Type="http://schemas.openxmlformats.org/officeDocument/2006/relationships/table" Target="../tables/table68.xml"/><Relationship Id="rId1" Type="http://schemas.openxmlformats.org/officeDocument/2006/relationships/printerSettings" Target="../printerSettings/printerSettings7.bin"/><Relationship Id="rId4" Type="http://schemas.openxmlformats.org/officeDocument/2006/relationships/table" Target="../tables/table70.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72.xml"/><Relationship Id="rId2" Type="http://schemas.openxmlformats.org/officeDocument/2006/relationships/table" Target="../tables/table71.xml"/><Relationship Id="rId1" Type="http://schemas.openxmlformats.org/officeDocument/2006/relationships/printerSettings" Target="../printerSettings/printerSettings8.bin"/><Relationship Id="rId4" Type="http://schemas.openxmlformats.org/officeDocument/2006/relationships/table" Target="../tables/table73.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75.xml"/><Relationship Id="rId2" Type="http://schemas.openxmlformats.org/officeDocument/2006/relationships/table" Target="../tables/table74.xml"/><Relationship Id="rId1" Type="http://schemas.openxmlformats.org/officeDocument/2006/relationships/printerSettings" Target="../printerSettings/printerSettings9.bin"/><Relationship Id="rId4" Type="http://schemas.openxmlformats.org/officeDocument/2006/relationships/table" Target="../tables/table7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01D9C-5601-4997-A11A-E244911B82A6}">
  <sheetPr>
    <pageSetUpPr fitToPage="1"/>
  </sheetPr>
  <dimension ref="A1:W77"/>
  <sheetViews>
    <sheetView tabSelected="1" zoomScale="70" zoomScaleNormal="70" workbookViewId="0">
      <selection activeCell="A3" sqref="A3"/>
    </sheetView>
  </sheetViews>
  <sheetFormatPr baseColWidth="10" defaultColWidth="10.33203125" defaultRowHeight="14.25" customHeight="1" x14ac:dyDescent="0.45"/>
  <cols>
    <col min="1" max="1" width="36.59765625" customWidth="1"/>
    <col min="2" max="2" width="27.73046875" customWidth="1"/>
    <col min="3" max="3" width="30.53125" customWidth="1"/>
    <col min="4" max="4" width="14.53125" customWidth="1"/>
    <col min="5" max="5" width="25.06640625" customWidth="1"/>
    <col min="6" max="6" width="32.46484375" customWidth="1"/>
    <col min="7" max="7" width="12.9296875" customWidth="1"/>
    <col min="8" max="8" width="3.73046875" customWidth="1"/>
    <col min="9" max="9" width="14.06640625" customWidth="1"/>
    <col min="10" max="10" width="43.265625" customWidth="1"/>
    <col min="11" max="11" width="4" customWidth="1"/>
  </cols>
  <sheetData>
    <row r="1" spans="1:23" ht="54" customHeight="1" x14ac:dyDescent="0.45">
      <c r="A1" s="37" t="s">
        <v>0</v>
      </c>
      <c r="B1" s="30"/>
      <c r="C1" s="30"/>
      <c r="D1" s="30"/>
      <c r="E1" s="30"/>
      <c r="F1" s="30"/>
      <c r="G1" s="30"/>
      <c r="H1" s="30"/>
      <c r="I1" s="30"/>
      <c r="J1" s="30"/>
      <c r="K1" s="30"/>
      <c r="L1" s="66"/>
      <c r="M1" s="66"/>
      <c r="N1" s="66"/>
      <c r="O1" s="66"/>
      <c r="P1" s="66"/>
      <c r="Q1" s="66"/>
      <c r="R1" s="66"/>
      <c r="S1" s="66"/>
      <c r="T1" s="66"/>
      <c r="U1" s="66"/>
      <c r="V1" s="66"/>
      <c r="W1" s="66"/>
    </row>
    <row r="2" spans="1:23" ht="28.5" customHeight="1" x14ac:dyDescent="0.85">
      <c r="A2" s="30"/>
      <c r="B2" s="61" t="s">
        <v>451</v>
      </c>
      <c r="C2" s="61"/>
      <c r="D2" s="62" t="s">
        <v>452</v>
      </c>
      <c r="E2" s="62"/>
      <c r="F2" s="28" t="s">
        <v>457</v>
      </c>
      <c r="G2" s="28"/>
      <c r="H2" s="30"/>
      <c r="I2" s="15" t="s">
        <v>457</v>
      </c>
      <c r="J2" s="15"/>
      <c r="K2" s="31"/>
      <c r="L2" s="66"/>
      <c r="M2" s="66"/>
      <c r="N2" s="66"/>
      <c r="O2" s="66"/>
      <c r="P2" s="66"/>
      <c r="Q2" s="66"/>
      <c r="R2" s="66"/>
      <c r="S2" s="66"/>
      <c r="T2" s="66"/>
      <c r="U2" s="66"/>
      <c r="V2" s="66"/>
      <c r="W2" s="66"/>
    </row>
    <row r="3" spans="1:23" ht="18" x14ac:dyDescent="0.55000000000000004">
      <c r="A3" s="13" t="s">
        <v>1</v>
      </c>
      <c r="B3" s="12" t="s">
        <v>453</v>
      </c>
      <c r="C3" s="12" t="s">
        <v>454</v>
      </c>
      <c r="D3" s="11" t="s">
        <v>455</v>
      </c>
      <c r="E3" s="11" t="s">
        <v>456</v>
      </c>
      <c r="F3" s="14" t="s">
        <v>143</v>
      </c>
      <c r="G3" s="14" t="s">
        <v>4</v>
      </c>
      <c r="H3" s="30"/>
      <c r="I3" s="14" t="s">
        <v>5</v>
      </c>
      <c r="J3" s="14" t="s">
        <v>143</v>
      </c>
      <c r="K3" s="32"/>
      <c r="L3" s="66"/>
      <c r="M3" s="67"/>
      <c r="N3" s="66"/>
      <c r="O3" s="66"/>
      <c r="P3" s="66"/>
      <c r="Q3" s="66"/>
      <c r="R3" s="66"/>
      <c r="S3" s="66"/>
      <c r="T3" s="66"/>
      <c r="U3" s="66"/>
      <c r="V3" s="66"/>
      <c r="W3" s="66"/>
    </row>
    <row r="4" spans="1:23" ht="21" customHeight="1" x14ac:dyDescent="0.45">
      <c r="A4" s="29" t="s">
        <v>458</v>
      </c>
      <c r="B4" s="6" t="s">
        <v>6</v>
      </c>
      <c r="C4" s="6" t="s">
        <v>7</v>
      </c>
      <c r="D4" s="48" t="s">
        <v>449</v>
      </c>
      <c r="E4" s="8" t="s">
        <v>139</v>
      </c>
      <c r="F4" s="10" t="s">
        <v>444</v>
      </c>
      <c r="G4" s="10" t="s">
        <v>8</v>
      </c>
      <c r="H4" s="30"/>
      <c r="I4" s="10">
        <f>COUNTIF(Tabelle1226[[#All],[Merged Theme]],Tabelle10951[[#This Row],[Merged Theme]])</f>
        <v>13</v>
      </c>
      <c r="J4" s="16" t="s">
        <v>9</v>
      </c>
      <c r="K4" s="9"/>
      <c r="L4" s="66"/>
      <c r="M4" s="66"/>
      <c r="N4" s="66"/>
      <c r="O4" s="66"/>
      <c r="P4" s="66"/>
      <c r="Q4" s="66"/>
      <c r="R4" s="66"/>
      <c r="S4" s="66"/>
      <c r="T4" s="66"/>
      <c r="U4" s="66"/>
      <c r="V4" s="66"/>
      <c r="W4" s="66"/>
    </row>
    <row r="5" spans="1:23" ht="21" customHeight="1" x14ac:dyDescent="0.45">
      <c r="A5" s="29" t="s">
        <v>6</v>
      </c>
      <c r="B5" s="6" t="s">
        <v>6</v>
      </c>
      <c r="C5" s="6" t="s">
        <v>7</v>
      </c>
      <c r="D5" s="48" t="s">
        <v>449</v>
      </c>
      <c r="E5" s="8" t="s">
        <v>140</v>
      </c>
      <c r="F5" s="10" t="s">
        <v>444</v>
      </c>
      <c r="G5" s="10" t="s">
        <v>8</v>
      </c>
      <c r="H5" s="30"/>
      <c r="I5" s="10">
        <f>COUNTIF(Tabelle1226[[#All],[Merged Theme]],Tabelle10951[[#This Row],[Merged Theme]])</f>
        <v>11</v>
      </c>
      <c r="J5" s="16" t="s">
        <v>445</v>
      </c>
      <c r="K5" s="9"/>
      <c r="L5" s="66"/>
      <c r="M5" s="66"/>
      <c r="N5" s="66"/>
      <c r="O5" s="66"/>
      <c r="P5" s="66"/>
      <c r="Q5" s="66"/>
      <c r="R5" s="66"/>
      <c r="S5" s="66"/>
      <c r="T5" s="66"/>
      <c r="U5" s="66"/>
      <c r="V5" s="66"/>
      <c r="W5" s="66"/>
    </row>
    <row r="6" spans="1:23" ht="21" customHeight="1" x14ac:dyDescent="0.45">
      <c r="A6" s="29" t="s">
        <v>11</v>
      </c>
      <c r="B6" s="6" t="s">
        <v>6</v>
      </c>
      <c r="C6" s="6" t="s">
        <v>7</v>
      </c>
      <c r="D6" s="48" t="s">
        <v>449</v>
      </c>
      <c r="E6" s="8" t="s">
        <v>140</v>
      </c>
      <c r="F6" s="10" t="s">
        <v>444</v>
      </c>
      <c r="G6" s="10" t="s">
        <v>8</v>
      </c>
      <c r="H6" s="30"/>
      <c r="I6" s="10">
        <f>COUNTIF(Tabelle1226[[#All],[Merged Theme]],Tabelle10951[[#This Row],[Merged Theme]])</f>
        <v>10</v>
      </c>
      <c r="J6" s="16" t="s">
        <v>444</v>
      </c>
      <c r="K6" s="9"/>
      <c r="L6" s="66"/>
      <c r="M6" s="66"/>
      <c r="N6" s="66"/>
      <c r="O6" s="66"/>
      <c r="P6" s="66"/>
      <c r="Q6" s="66"/>
      <c r="R6" s="66"/>
      <c r="S6" s="66"/>
      <c r="T6" s="66"/>
      <c r="U6" s="66"/>
      <c r="V6" s="66"/>
      <c r="W6" s="66"/>
    </row>
    <row r="7" spans="1:23" ht="21" customHeight="1" x14ac:dyDescent="0.45">
      <c r="A7" s="29" t="s">
        <v>13</v>
      </c>
      <c r="B7" s="6" t="s">
        <v>14</v>
      </c>
      <c r="C7" s="6" t="s">
        <v>14</v>
      </c>
      <c r="D7" s="48" t="s">
        <v>449</v>
      </c>
      <c r="E7" s="8" t="s">
        <v>141</v>
      </c>
      <c r="F7" s="10" t="s">
        <v>443</v>
      </c>
      <c r="G7" s="10" t="s">
        <v>8</v>
      </c>
      <c r="H7" s="30"/>
      <c r="I7" s="10">
        <f>COUNTIF(Tabelle1226[[#All],[Merged Theme]],Tabelle10951[[#This Row],[Merged Theme]])</f>
        <v>7</v>
      </c>
      <c r="J7" s="16" t="s">
        <v>10</v>
      </c>
      <c r="K7" s="9"/>
      <c r="L7" s="66"/>
      <c r="M7" s="66"/>
      <c r="N7" s="66"/>
      <c r="O7" s="66"/>
      <c r="P7" s="66"/>
      <c r="Q7" s="66"/>
      <c r="R7" s="66"/>
      <c r="S7" s="66"/>
      <c r="T7" s="66"/>
      <c r="U7" s="66"/>
      <c r="V7" s="66"/>
      <c r="W7" s="66"/>
    </row>
    <row r="8" spans="1:23" ht="21" customHeight="1" x14ac:dyDescent="0.45">
      <c r="A8" s="29" t="s">
        <v>16</v>
      </c>
      <c r="B8" s="6" t="s">
        <v>14</v>
      </c>
      <c r="C8" s="6" t="s">
        <v>14</v>
      </c>
      <c r="D8" s="48" t="s">
        <v>449</v>
      </c>
      <c r="E8" s="8" t="s">
        <v>141</v>
      </c>
      <c r="F8" s="10" t="s">
        <v>443</v>
      </c>
      <c r="G8" s="10" t="s">
        <v>8</v>
      </c>
      <c r="H8" s="30"/>
      <c r="I8" s="10">
        <f>COUNTIF(Tabelle1226[[#All],[Merged Theme]],Tabelle10951[[#This Row],[Merged Theme]])</f>
        <v>3</v>
      </c>
      <c r="J8" s="16" t="s">
        <v>443</v>
      </c>
      <c r="K8" s="9"/>
      <c r="L8" s="66"/>
      <c r="M8" s="66"/>
      <c r="N8" s="66"/>
      <c r="O8" s="66"/>
      <c r="P8" s="66"/>
      <c r="Q8" s="66"/>
      <c r="R8" s="66"/>
      <c r="S8" s="66"/>
      <c r="T8" s="66"/>
      <c r="U8" s="66"/>
      <c r="V8" s="66"/>
      <c r="W8" s="66"/>
    </row>
    <row r="9" spans="1:23" ht="21" customHeight="1" x14ac:dyDescent="0.45">
      <c r="A9" s="29" t="s">
        <v>9</v>
      </c>
      <c r="B9" s="6" t="s">
        <v>9</v>
      </c>
      <c r="C9" s="6" t="s">
        <v>9</v>
      </c>
      <c r="D9" s="48" t="s">
        <v>449</v>
      </c>
      <c r="E9" s="8" t="s">
        <v>142</v>
      </c>
      <c r="F9" s="10" t="s">
        <v>9</v>
      </c>
      <c r="G9" s="10" t="s">
        <v>8</v>
      </c>
      <c r="H9" s="30"/>
      <c r="I9" s="17">
        <f>SUM(Tabelle10951[Mentions])</f>
        <v>44</v>
      </c>
      <c r="J9" s="18"/>
      <c r="K9" s="33"/>
      <c r="L9" s="66"/>
      <c r="M9" s="66"/>
      <c r="N9" s="66"/>
      <c r="O9" s="66"/>
      <c r="P9" s="66"/>
      <c r="Q9" s="66"/>
      <c r="R9" s="66"/>
      <c r="S9" s="66"/>
      <c r="T9" s="66"/>
      <c r="U9" s="66"/>
      <c r="V9" s="66"/>
      <c r="W9" s="66"/>
    </row>
    <row r="10" spans="1:23" ht="21" customHeight="1" x14ac:dyDescent="0.45">
      <c r="A10" s="29" t="s">
        <v>9</v>
      </c>
      <c r="B10" s="6" t="s">
        <v>9</v>
      </c>
      <c r="C10" s="6" t="s">
        <v>9</v>
      </c>
      <c r="D10" s="48" t="s">
        <v>449</v>
      </c>
      <c r="E10" s="8" t="s">
        <v>142</v>
      </c>
      <c r="F10" s="10" t="s">
        <v>9</v>
      </c>
      <c r="G10" s="10" t="s">
        <v>8</v>
      </c>
      <c r="H10" s="30"/>
      <c r="I10" s="9"/>
      <c r="J10" s="9"/>
      <c r="K10" s="9"/>
      <c r="L10" s="66"/>
      <c r="M10" s="66"/>
      <c r="N10" s="66"/>
      <c r="O10" s="66"/>
      <c r="P10" s="66"/>
      <c r="Q10" s="66"/>
      <c r="R10" s="66"/>
      <c r="S10" s="66"/>
      <c r="T10" s="66"/>
      <c r="U10" s="66"/>
      <c r="V10" s="66"/>
      <c r="W10" s="66"/>
    </row>
    <row r="11" spans="1:23" ht="21" customHeight="1" x14ac:dyDescent="0.45">
      <c r="A11" s="29" t="s">
        <v>18</v>
      </c>
      <c r="B11" s="6" t="s">
        <v>9</v>
      </c>
      <c r="C11" s="6" t="s">
        <v>9</v>
      </c>
      <c r="D11" s="48" t="s">
        <v>449</v>
      </c>
      <c r="E11" s="8" t="s">
        <v>142</v>
      </c>
      <c r="F11" s="10" t="s">
        <v>9</v>
      </c>
      <c r="G11" s="10" t="s">
        <v>8</v>
      </c>
      <c r="H11" s="30"/>
      <c r="I11" s="9"/>
      <c r="J11" s="9"/>
      <c r="K11" s="9"/>
      <c r="L11" s="66"/>
      <c r="M11" s="66"/>
      <c r="N11" s="66"/>
      <c r="O11" s="66"/>
      <c r="P11" s="66"/>
      <c r="Q11" s="66"/>
      <c r="R11" s="66"/>
      <c r="S11" s="66"/>
      <c r="T11" s="66"/>
      <c r="U11" s="66"/>
      <c r="V11" s="66"/>
      <c r="W11" s="66"/>
    </row>
    <row r="12" spans="1:23" ht="21" customHeight="1" x14ac:dyDescent="0.65">
      <c r="A12" s="29" t="s">
        <v>20</v>
      </c>
      <c r="B12" s="6" t="s">
        <v>9</v>
      </c>
      <c r="C12" s="6" t="s">
        <v>9</v>
      </c>
      <c r="D12" s="48" t="s">
        <v>449</v>
      </c>
      <c r="E12" s="8" t="s">
        <v>142</v>
      </c>
      <c r="F12" s="10" t="s">
        <v>9</v>
      </c>
      <c r="G12" s="10" t="s">
        <v>8</v>
      </c>
      <c r="H12" s="30"/>
      <c r="I12" s="63" t="s">
        <v>451</v>
      </c>
      <c r="J12" s="63"/>
      <c r="K12" s="31"/>
      <c r="L12" s="66"/>
      <c r="M12" s="66"/>
      <c r="N12" s="66"/>
      <c r="O12" s="66"/>
      <c r="P12" s="66"/>
      <c r="Q12" s="66"/>
      <c r="R12" s="66"/>
      <c r="S12" s="66"/>
      <c r="T12" s="66"/>
      <c r="U12" s="66"/>
      <c r="V12" s="66"/>
      <c r="W12" s="66"/>
    </row>
    <row r="13" spans="1:23" ht="21" customHeight="1" x14ac:dyDescent="0.55000000000000004">
      <c r="A13" s="29" t="s">
        <v>9</v>
      </c>
      <c r="B13" s="6" t="s">
        <v>9</v>
      </c>
      <c r="C13" s="6" t="s">
        <v>9</v>
      </c>
      <c r="D13" s="48" t="s">
        <v>449</v>
      </c>
      <c r="E13" s="8" t="s">
        <v>142</v>
      </c>
      <c r="F13" s="10" t="s">
        <v>9</v>
      </c>
      <c r="G13" s="10" t="s">
        <v>8</v>
      </c>
      <c r="H13" s="30"/>
      <c r="I13" s="23" t="s">
        <v>5</v>
      </c>
      <c r="J13" s="22" t="s">
        <v>3</v>
      </c>
      <c r="K13" s="34"/>
      <c r="L13" s="66"/>
      <c r="M13" s="66"/>
      <c r="N13" s="66"/>
      <c r="O13" s="66"/>
      <c r="P13" s="66"/>
      <c r="Q13" s="66"/>
      <c r="R13" s="66"/>
      <c r="S13" s="66"/>
      <c r="T13" s="66"/>
      <c r="U13" s="66"/>
      <c r="V13" s="66"/>
      <c r="W13" s="66"/>
    </row>
    <row r="14" spans="1:23" ht="21" customHeight="1" x14ac:dyDescent="0.45">
      <c r="A14" s="29" t="s">
        <v>9</v>
      </c>
      <c r="B14" s="6" t="s">
        <v>9</v>
      </c>
      <c r="C14" s="6" t="s">
        <v>9</v>
      </c>
      <c r="D14" s="48" t="s">
        <v>449</v>
      </c>
      <c r="E14" s="8" t="s">
        <v>142</v>
      </c>
      <c r="F14" s="10" t="s">
        <v>9</v>
      </c>
      <c r="G14" s="10" t="s">
        <v>8</v>
      </c>
      <c r="H14" s="30"/>
      <c r="I14" s="6">
        <f>COUNTIF(Tabelle1226[A - Theme],Tabelle10911152[[#This Row],[Theme]])</f>
        <v>15</v>
      </c>
      <c r="J14" s="27" t="s">
        <v>9</v>
      </c>
      <c r="K14" s="35"/>
    </row>
    <row r="15" spans="1:23" ht="21" customHeight="1" x14ac:dyDescent="0.45">
      <c r="A15" s="29" t="s">
        <v>23</v>
      </c>
      <c r="B15" s="6" t="s">
        <v>9</v>
      </c>
      <c r="C15" s="6" t="s">
        <v>9</v>
      </c>
      <c r="D15" s="48" t="s">
        <v>449</v>
      </c>
      <c r="E15" s="8" t="s">
        <v>142</v>
      </c>
      <c r="F15" s="10" t="s">
        <v>445</v>
      </c>
      <c r="G15" s="10" t="s">
        <v>8</v>
      </c>
      <c r="H15" s="30"/>
      <c r="I15" s="6">
        <f>COUNTIF(Tabelle1226[A - Theme],Tabelle10911152[[#This Row],[Theme]])</f>
        <v>8</v>
      </c>
      <c r="J15" s="27" t="s">
        <v>10</v>
      </c>
      <c r="K15" s="35"/>
    </row>
    <row r="16" spans="1:23" ht="21" customHeight="1" x14ac:dyDescent="0.45">
      <c r="A16" s="29" t="s">
        <v>24</v>
      </c>
      <c r="B16" s="6" t="s">
        <v>9</v>
      </c>
      <c r="C16" s="6" t="s">
        <v>9</v>
      </c>
      <c r="D16" s="48" t="s">
        <v>449</v>
      </c>
      <c r="E16" s="8" t="s">
        <v>142</v>
      </c>
      <c r="F16" s="10" t="s">
        <v>445</v>
      </c>
      <c r="G16" s="10" t="s">
        <v>8</v>
      </c>
      <c r="H16" s="30"/>
      <c r="I16" s="6">
        <f>COUNTIF(Tabelle1226[A - Theme],Tabelle10911152[[#This Row],[Theme]])</f>
        <v>4</v>
      </c>
      <c r="J16" s="27" t="s">
        <v>12</v>
      </c>
      <c r="K16" s="35"/>
    </row>
    <row r="17" spans="1:11" ht="21" customHeight="1" x14ac:dyDescent="0.45">
      <c r="A17" s="29" t="s">
        <v>9</v>
      </c>
      <c r="B17" s="6" t="s">
        <v>9</v>
      </c>
      <c r="C17" s="6" t="s">
        <v>9</v>
      </c>
      <c r="D17" s="48" t="s">
        <v>449</v>
      </c>
      <c r="E17" s="8" t="s">
        <v>142</v>
      </c>
      <c r="F17" s="10" t="s">
        <v>9</v>
      </c>
      <c r="G17" s="10" t="s">
        <v>8</v>
      </c>
      <c r="H17" s="30"/>
      <c r="I17" s="6">
        <f>COUNTIF(Tabelle1226[A - Theme],Tabelle10911152[[#This Row],[Theme]])</f>
        <v>4</v>
      </c>
      <c r="J17" s="27" t="s">
        <v>15</v>
      </c>
      <c r="K17" s="35"/>
    </row>
    <row r="18" spans="1:11" ht="21" customHeight="1" x14ac:dyDescent="0.45">
      <c r="A18" s="29" t="s">
        <v>25</v>
      </c>
      <c r="B18" s="6" t="s">
        <v>9</v>
      </c>
      <c r="C18" s="6" t="s">
        <v>9</v>
      </c>
      <c r="D18" s="48" t="s">
        <v>449</v>
      </c>
      <c r="E18" s="8" t="s">
        <v>142</v>
      </c>
      <c r="F18" s="10" t="s">
        <v>445</v>
      </c>
      <c r="G18" s="10" t="s">
        <v>8</v>
      </c>
      <c r="H18" s="30"/>
      <c r="I18" s="6">
        <f>COUNTIF(Tabelle1226[A - Theme],Tabelle10911152[[#This Row],[Theme]])</f>
        <v>4</v>
      </c>
      <c r="J18" s="27" t="s">
        <v>17</v>
      </c>
      <c r="K18" s="35"/>
    </row>
    <row r="19" spans="1:11" ht="21" customHeight="1" x14ac:dyDescent="0.45">
      <c r="A19" s="29" t="s">
        <v>18</v>
      </c>
      <c r="B19" s="6" t="s">
        <v>9</v>
      </c>
      <c r="C19" s="6" t="s">
        <v>9</v>
      </c>
      <c r="D19" s="48" t="s">
        <v>449</v>
      </c>
      <c r="E19" s="8" t="s">
        <v>142</v>
      </c>
      <c r="F19" s="10" t="s">
        <v>9</v>
      </c>
      <c r="G19" s="10" t="s">
        <v>8</v>
      </c>
      <c r="H19" s="30"/>
      <c r="I19" s="6">
        <f>COUNTIF(Tabelle1226[A - Theme],Tabelle10911152[[#This Row],[Theme]])</f>
        <v>3</v>
      </c>
      <c r="J19" s="27" t="s">
        <v>7</v>
      </c>
      <c r="K19" s="35"/>
    </row>
    <row r="20" spans="1:11" ht="21" customHeight="1" x14ac:dyDescent="0.45">
      <c r="A20" s="29" t="s">
        <v>26</v>
      </c>
      <c r="B20" s="6" t="s">
        <v>9</v>
      </c>
      <c r="C20" s="6" t="s">
        <v>9</v>
      </c>
      <c r="D20" s="48" t="s">
        <v>449</v>
      </c>
      <c r="E20" s="8" t="s">
        <v>142</v>
      </c>
      <c r="F20" s="10" t="s">
        <v>9</v>
      </c>
      <c r="G20" s="10" t="s">
        <v>8</v>
      </c>
      <c r="H20" s="30"/>
      <c r="I20" s="6">
        <f>COUNTIF(Tabelle1226[A - Theme],Tabelle10911152[[#This Row],[Theme]])</f>
        <v>2</v>
      </c>
      <c r="J20" s="27" t="s">
        <v>14</v>
      </c>
      <c r="K20" s="35"/>
    </row>
    <row r="21" spans="1:11" ht="21" customHeight="1" x14ac:dyDescent="0.45">
      <c r="A21" s="29" t="s">
        <v>9</v>
      </c>
      <c r="B21" s="6" t="s">
        <v>9</v>
      </c>
      <c r="C21" s="6" t="s">
        <v>9</v>
      </c>
      <c r="D21" s="48" t="s">
        <v>449</v>
      </c>
      <c r="E21" s="8" t="s">
        <v>142</v>
      </c>
      <c r="F21" s="10" t="s">
        <v>9</v>
      </c>
      <c r="G21" s="10" t="s">
        <v>8</v>
      </c>
      <c r="H21" s="30"/>
      <c r="I21" s="6">
        <f>COUNTIF(Tabelle1226[A - Theme],Tabelle10911152[[#This Row],[Theme]])</f>
        <v>2</v>
      </c>
      <c r="J21" s="27" t="s">
        <v>19</v>
      </c>
      <c r="K21" s="35"/>
    </row>
    <row r="22" spans="1:11" ht="21" customHeight="1" x14ac:dyDescent="0.45">
      <c r="A22" s="29" t="s">
        <v>18</v>
      </c>
      <c r="B22" s="6" t="s">
        <v>9</v>
      </c>
      <c r="C22" s="6" t="s">
        <v>9</v>
      </c>
      <c r="D22" s="48" t="s">
        <v>449</v>
      </c>
      <c r="E22" s="8" t="s">
        <v>142</v>
      </c>
      <c r="F22" s="10" t="s">
        <v>9</v>
      </c>
      <c r="G22" s="10" t="s">
        <v>8</v>
      </c>
      <c r="H22" s="30"/>
      <c r="I22" s="6">
        <f>COUNTIF(Tabelle1226[A - Theme],Tabelle10911152[[#This Row],[Theme]])</f>
        <v>1</v>
      </c>
      <c r="J22" s="27" t="s">
        <v>21</v>
      </c>
      <c r="K22" s="35"/>
    </row>
    <row r="23" spans="1:11" ht="21" customHeight="1" x14ac:dyDescent="0.45">
      <c r="A23" s="29" t="s">
        <v>9</v>
      </c>
      <c r="B23" s="6" t="s">
        <v>9</v>
      </c>
      <c r="C23" s="6" t="s">
        <v>9</v>
      </c>
      <c r="D23" s="48" t="s">
        <v>449</v>
      </c>
      <c r="E23" s="8" t="s">
        <v>142</v>
      </c>
      <c r="F23" s="10" t="s">
        <v>9</v>
      </c>
      <c r="G23" s="10" t="s">
        <v>8</v>
      </c>
      <c r="H23" s="30"/>
      <c r="I23" s="6">
        <f>COUNTIF(Tabelle1226[A - Theme],Tabelle10911152[[#This Row],[Theme]])</f>
        <v>1</v>
      </c>
      <c r="J23" s="27" t="s">
        <v>22</v>
      </c>
      <c r="K23" s="35"/>
    </row>
    <row r="24" spans="1:11" ht="21" customHeight="1" x14ac:dyDescent="0.45">
      <c r="A24" s="29" t="s">
        <v>27</v>
      </c>
      <c r="B24" s="6" t="s">
        <v>28</v>
      </c>
      <c r="C24" s="6" t="s">
        <v>10</v>
      </c>
      <c r="D24" s="48" t="s">
        <v>449</v>
      </c>
      <c r="E24" s="8" t="s">
        <v>142</v>
      </c>
      <c r="F24" s="10" t="s">
        <v>10</v>
      </c>
      <c r="G24" s="10" t="s">
        <v>8</v>
      </c>
      <c r="H24" s="30"/>
      <c r="I24" s="20">
        <f>SUM(Tabelle10911152[Mentions])</f>
        <v>44</v>
      </c>
      <c r="J24" s="21"/>
      <c r="K24" s="33"/>
    </row>
    <row r="25" spans="1:11" ht="21" customHeight="1" x14ac:dyDescent="0.45">
      <c r="A25" s="29" t="s">
        <v>24</v>
      </c>
      <c r="B25" s="6" t="s">
        <v>28</v>
      </c>
      <c r="C25" s="6" t="s">
        <v>10</v>
      </c>
      <c r="D25" s="48" t="s">
        <v>449</v>
      </c>
      <c r="E25" s="8" t="s">
        <v>142</v>
      </c>
      <c r="F25" s="10" t="s">
        <v>9</v>
      </c>
      <c r="G25" s="10" t="s">
        <v>8</v>
      </c>
      <c r="H25" s="30"/>
      <c r="I25" s="30"/>
      <c r="J25" s="30"/>
      <c r="K25" s="30"/>
    </row>
    <row r="26" spans="1:11" ht="21" customHeight="1" x14ac:dyDescent="0.45">
      <c r="A26" s="29" t="s">
        <v>29</v>
      </c>
      <c r="B26" s="6" t="s">
        <v>28</v>
      </c>
      <c r="C26" s="6" t="s">
        <v>10</v>
      </c>
      <c r="D26" s="48" t="s">
        <v>449</v>
      </c>
      <c r="E26" s="8" t="s">
        <v>142</v>
      </c>
      <c r="F26" s="10" t="s">
        <v>10</v>
      </c>
      <c r="G26" s="10" t="s">
        <v>8</v>
      </c>
      <c r="H26" s="30"/>
      <c r="I26" s="30"/>
      <c r="J26" s="30"/>
      <c r="K26" s="30"/>
    </row>
    <row r="27" spans="1:11" ht="21" customHeight="1" x14ac:dyDescent="0.65">
      <c r="A27" s="29" t="s">
        <v>30</v>
      </c>
      <c r="B27" s="6" t="s">
        <v>31</v>
      </c>
      <c r="C27" s="6" t="s">
        <v>10</v>
      </c>
      <c r="D27" s="48" t="s">
        <v>449</v>
      </c>
      <c r="E27" s="8" t="s">
        <v>142</v>
      </c>
      <c r="F27" s="10" t="s">
        <v>10</v>
      </c>
      <c r="G27" s="10" t="s">
        <v>8</v>
      </c>
      <c r="H27" s="30"/>
      <c r="I27" s="64" t="s">
        <v>452</v>
      </c>
      <c r="J27" s="64"/>
      <c r="K27" s="31"/>
    </row>
    <row r="28" spans="1:11" ht="21" customHeight="1" x14ac:dyDescent="0.55000000000000004">
      <c r="A28" s="29" t="s">
        <v>32</v>
      </c>
      <c r="B28" s="6" t="s">
        <v>28</v>
      </c>
      <c r="C28" s="6" t="s">
        <v>10</v>
      </c>
      <c r="D28" s="48" t="s">
        <v>449</v>
      </c>
      <c r="E28" s="8" t="s">
        <v>142</v>
      </c>
      <c r="F28" s="10" t="s">
        <v>10</v>
      </c>
      <c r="G28" s="10" t="s">
        <v>8</v>
      </c>
      <c r="H28" s="30"/>
      <c r="I28" s="19" t="s">
        <v>5</v>
      </c>
      <c r="J28" s="19" t="s">
        <v>3</v>
      </c>
      <c r="K28" s="34"/>
    </row>
    <row r="29" spans="1:11" ht="21" customHeight="1" x14ac:dyDescent="0.45">
      <c r="A29" s="29" t="s">
        <v>33</v>
      </c>
      <c r="B29" s="6" t="s">
        <v>31</v>
      </c>
      <c r="C29" s="6" t="s">
        <v>10</v>
      </c>
      <c r="D29" s="48" t="s">
        <v>449</v>
      </c>
      <c r="E29" s="8" t="s">
        <v>142</v>
      </c>
      <c r="F29" s="10" t="s">
        <v>10</v>
      </c>
      <c r="G29" s="10" t="s">
        <v>8</v>
      </c>
      <c r="H29" s="30"/>
      <c r="I29" s="8">
        <f>COUNTIF(Tabelle1226[B - Theme],Tabelle10911111258[[#This Row],[Theme]])</f>
        <v>31</v>
      </c>
      <c r="J29" s="26" t="s">
        <v>142</v>
      </c>
      <c r="K29" s="9"/>
    </row>
    <row r="30" spans="1:11" ht="21" customHeight="1" x14ac:dyDescent="0.45">
      <c r="A30" s="29" t="s">
        <v>34</v>
      </c>
      <c r="B30" s="6" t="s">
        <v>28</v>
      </c>
      <c r="C30" s="6" t="s">
        <v>10</v>
      </c>
      <c r="D30" s="48" t="s">
        <v>449</v>
      </c>
      <c r="E30" s="8" t="s">
        <v>142</v>
      </c>
      <c r="F30" s="10" t="s">
        <v>10</v>
      </c>
      <c r="G30" s="10" t="s">
        <v>8</v>
      </c>
      <c r="H30" s="30"/>
      <c r="I30" s="8">
        <f>COUNTIF(Tabelle1226[B - Theme],Tabelle10911111258[[#This Row],[Theme]])</f>
        <v>9</v>
      </c>
      <c r="J30" s="26" t="s">
        <v>140</v>
      </c>
      <c r="K30" s="9"/>
    </row>
    <row r="31" spans="1:11" ht="21" customHeight="1" x14ac:dyDescent="0.45">
      <c r="A31" s="29" t="s">
        <v>33</v>
      </c>
      <c r="B31" s="6" t="s">
        <v>31</v>
      </c>
      <c r="C31" s="6" t="s">
        <v>10</v>
      </c>
      <c r="D31" s="48" t="s">
        <v>449</v>
      </c>
      <c r="E31" s="8" t="s">
        <v>142</v>
      </c>
      <c r="F31" s="10" t="s">
        <v>10</v>
      </c>
      <c r="G31" s="10" t="s">
        <v>8</v>
      </c>
      <c r="H31" s="30"/>
      <c r="I31" s="8">
        <f>COUNTIF(Tabelle1226[B - Theme],Tabelle10911111258[[#This Row],[Theme]])</f>
        <v>3</v>
      </c>
      <c r="J31" s="26" t="s">
        <v>141</v>
      </c>
      <c r="K31" s="9"/>
    </row>
    <row r="32" spans="1:11" ht="21" customHeight="1" x14ac:dyDescent="0.45">
      <c r="A32" s="29" t="s">
        <v>35</v>
      </c>
      <c r="B32" s="6" t="s">
        <v>21</v>
      </c>
      <c r="C32" s="6" t="s">
        <v>21</v>
      </c>
      <c r="D32" s="48" t="s">
        <v>449</v>
      </c>
      <c r="E32" s="8" t="s">
        <v>141</v>
      </c>
      <c r="F32" s="10" t="s">
        <v>443</v>
      </c>
      <c r="G32" s="10" t="s">
        <v>8</v>
      </c>
      <c r="H32" s="30"/>
      <c r="I32" s="8">
        <f>COUNTIF(Tabelle1226[B - Theme],Tabelle10911111258[[#This Row],[Theme]])</f>
        <v>1</v>
      </c>
      <c r="J32" s="26" t="s">
        <v>139</v>
      </c>
      <c r="K32" s="9"/>
    </row>
    <row r="33" spans="1:11" ht="21" customHeight="1" x14ac:dyDescent="0.45">
      <c r="A33" s="29" t="s">
        <v>36</v>
      </c>
      <c r="B33" s="6" t="s">
        <v>37</v>
      </c>
      <c r="C33" s="6" t="s">
        <v>12</v>
      </c>
      <c r="D33" s="48" t="s">
        <v>449</v>
      </c>
      <c r="E33" s="8" t="s">
        <v>140</v>
      </c>
      <c r="F33" s="10" t="s">
        <v>444</v>
      </c>
      <c r="G33" s="10" t="s">
        <v>8</v>
      </c>
      <c r="H33" s="30"/>
      <c r="I33" s="24">
        <f>SUM(Tabelle10911111258[Mentions])</f>
        <v>44</v>
      </c>
      <c r="J33" s="25"/>
      <c r="K33" s="33"/>
    </row>
    <row r="34" spans="1:11" ht="21" customHeight="1" x14ac:dyDescent="0.45">
      <c r="A34" s="29" t="s">
        <v>38</v>
      </c>
      <c r="B34" s="6" t="s">
        <v>37</v>
      </c>
      <c r="C34" s="6" t="s">
        <v>12</v>
      </c>
      <c r="D34" s="48" t="s">
        <v>449</v>
      </c>
      <c r="E34" s="8" t="s">
        <v>140</v>
      </c>
      <c r="F34" s="10" t="s">
        <v>444</v>
      </c>
      <c r="G34" s="10" t="s">
        <v>8</v>
      </c>
      <c r="H34" s="30"/>
      <c r="I34" s="30"/>
      <c r="J34" s="30"/>
      <c r="K34" s="30"/>
    </row>
    <row r="35" spans="1:11" ht="21" customHeight="1" x14ac:dyDescent="0.45">
      <c r="A35" s="29" t="s">
        <v>39</v>
      </c>
      <c r="B35" s="6" t="s">
        <v>37</v>
      </c>
      <c r="C35" s="6" t="s">
        <v>12</v>
      </c>
      <c r="D35" s="48" t="s">
        <v>449</v>
      </c>
      <c r="E35" s="8" t="s">
        <v>140</v>
      </c>
      <c r="F35" s="10" t="s">
        <v>444</v>
      </c>
      <c r="G35" s="10" t="s">
        <v>8</v>
      </c>
      <c r="H35" s="30"/>
      <c r="I35" s="30"/>
      <c r="J35" s="30"/>
      <c r="K35" s="30"/>
    </row>
    <row r="36" spans="1:11" ht="21" customHeight="1" x14ac:dyDescent="0.45">
      <c r="A36" s="29" t="s">
        <v>40</v>
      </c>
      <c r="B36" s="6" t="s">
        <v>37</v>
      </c>
      <c r="C36" s="6" t="s">
        <v>12</v>
      </c>
      <c r="D36" s="48" t="s">
        <v>449</v>
      </c>
      <c r="E36" s="8" t="s">
        <v>140</v>
      </c>
      <c r="F36" s="10" t="s">
        <v>444</v>
      </c>
      <c r="G36" s="10" t="s">
        <v>8</v>
      </c>
      <c r="H36" s="30"/>
      <c r="I36" s="30"/>
      <c r="J36" s="30"/>
      <c r="K36" s="30"/>
    </row>
    <row r="37" spans="1:11" ht="21" customHeight="1" x14ac:dyDescent="0.45">
      <c r="A37" s="29" t="s">
        <v>19</v>
      </c>
      <c r="B37" s="6" t="s">
        <v>19</v>
      </c>
      <c r="C37" s="6" t="s">
        <v>19</v>
      </c>
      <c r="D37" s="48" t="s">
        <v>449</v>
      </c>
      <c r="E37" s="8" t="s">
        <v>140</v>
      </c>
      <c r="F37" s="10" t="s">
        <v>444</v>
      </c>
      <c r="G37" s="10" t="s">
        <v>8</v>
      </c>
      <c r="H37" s="30"/>
      <c r="I37" s="30"/>
      <c r="J37" s="30"/>
      <c r="K37" s="30"/>
    </row>
    <row r="38" spans="1:11" ht="21" customHeight="1" x14ac:dyDescent="0.45">
      <c r="A38" s="29" t="s">
        <v>41</v>
      </c>
      <c r="B38" s="6" t="s">
        <v>19</v>
      </c>
      <c r="C38" s="6" t="s">
        <v>19</v>
      </c>
      <c r="D38" s="48" t="s">
        <v>449</v>
      </c>
      <c r="E38" s="8" t="s">
        <v>140</v>
      </c>
      <c r="F38" s="10" t="s">
        <v>444</v>
      </c>
      <c r="G38" s="10" t="s">
        <v>8</v>
      </c>
      <c r="H38" s="30"/>
      <c r="I38" s="30"/>
      <c r="J38" s="30"/>
      <c r="K38" s="30"/>
    </row>
    <row r="39" spans="1:11" ht="21" customHeight="1" x14ac:dyDescent="0.45">
      <c r="A39" s="29" t="s">
        <v>42</v>
      </c>
      <c r="B39" s="7" t="s">
        <v>43</v>
      </c>
      <c r="C39" s="7" t="s">
        <v>22</v>
      </c>
      <c r="D39" s="48" t="s">
        <v>449</v>
      </c>
      <c r="E39" s="8" t="s">
        <v>140</v>
      </c>
      <c r="F39" s="10" t="s">
        <v>444</v>
      </c>
      <c r="G39" s="10" t="s">
        <v>8</v>
      </c>
      <c r="H39" s="30"/>
      <c r="I39" s="30"/>
      <c r="J39" s="30"/>
      <c r="K39" s="30"/>
    </row>
    <row r="40" spans="1:11" ht="21" customHeight="1" x14ac:dyDescent="0.45">
      <c r="A40" s="29" t="s">
        <v>44</v>
      </c>
      <c r="B40" s="6" t="s">
        <v>45</v>
      </c>
      <c r="C40" s="6" t="s">
        <v>15</v>
      </c>
      <c r="D40" s="48" t="s">
        <v>449</v>
      </c>
      <c r="E40" s="8" t="s">
        <v>142</v>
      </c>
      <c r="F40" s="10" t="s">
        <v>445</v>
      </c>
      <c r="G40" s="10" t="s">
        <v>8</v>
      </c>
      <c r="H40" s="30"/>
      <c r="I40" s="30"/>
      <c r="J40" s="30"/>
      <c r="K40" s="30"/>
    </row>
    <row r="41" spans="1:11" ht="21" customHeight="1" x14ac:dyDescent="0.45">
      <c r="A41" s="29" t="s">
        <v>44</v>
      </c>
      <c r="B41" s="6" t="s">
        <v>45</v>
      </c>
      <c r="C41" s="6" t="s">
        <v>15</v>
      </c>
      <c r="D41" s="48" t="s">
        <v>449</v>
      </c>
      <c r="E41" s="8" t="s">
        <v>142</v>
      </c>
      <c r="F41" s="10" t="s">
        <v>445</v>
      </c>
      <c r="G41" s="10" t="s">
        <v>8</v>
      </c>
      <c r="H41" s="30"/>
      <c r="I41" s="30"/>
      <c r="J41" s="30"/>
      <c r="K41" s="30"/>
    </row>
    <row r="42" spans="1:11" ht="21" customHeight="1" x14ac:dyDescent="0.45">
      <c r="A42" s="29" t="s">
        <v>46</v>
      </c>
      <c r="B42" s="6" t="s">
        <v>45</v>
      </c>
      <c r="C42" s="6" t="s">
        <v>15</v>
      </c>
      <c r="D42" s="48" t="s">
        <v>449</v>
      </c>
      <c r="E42" s="8" t="s">
        <v>142</v>
      </c>
      <c r="F42" s="10" t="s">
        <v>445</v>
      </c>
      <c r="G42" s="10" t="s">
        <v>8</v>
      </c>
      <c r="H42" s="30"/>
      <c r="I42" s="30"/>
      <c r="J42" s="30"/>
      <c r="K42" s="30"/>
    </row>
    <row r="43" spans="1:11" ht="21" customHeight="1" x14ac:dyDescent="0.45">
      <c r="A43" s="29" t="s">
        <v>47</v>
      </c>
      <c r="B43" s="6" t="s">
        <v>45</v>
      </c>
      <c r="C43" s="6" t="s">
        <v>15</v>
      </c>
      <c r="D43" s="48" t="s">
        <v>449</v>
      </c>
      <c r="E43" s="8" t="s">
        <v>142</v>
      </c>
      <c r="F43" s="10" t="s">
        <v>445</v>
      </c>
      <c r="G43" s="10" t="s">
        <v>8</v>
      </c>
      <c r="H43" s="30"/>
      <c r="I43" s="30"/>
      <c r="J43" s="30"/>
      <c r="K43" s="30"/>
    </row>
    <row r="44" spans="1:11" ht="21" customHeight="1" x14ac:dyDescent="0.45">
      <c r="A44" s="29" t="s">
        <v>48</v>
      </c>
      <c r="B44" s="6" t="s">
        <v>48</v>
      </c>
      <c r="C44" s="6" t="s">
        <v>17</v>
      </c>
      <c r="D44" s="48" t="s">
        <v>449</v>
      </c>
      <c r="E44" s="8" t="s">
        <v>142</v>
      </c>
      <c r="F44" s="10" t="s">
        <v>445</v>
      </c>
      <c r="G44" s="10" t="s">
        <v>8</v>
      </c>
      <c r="H44" s="30"/>
      <c r="I44" s="30"/>
      <c r="J44" s="30"/>
      <c r="K44" s="30"/>
    </row>
    <row r="45" spans="1:11" ht="21" customHeight="1" x14ac:dyDescent="0.45">
      <c r="A45" s="29" t="s">
        <v>48</v>
      </c>
      <c r="B45" s="6" t="s">
        <v>48</v>
      </c>
      <c r="C45" s="6" t="s">
        <v>17</v>
      </c>
      <c r="D45" s="48" t="s">
        <v>449</v>
      </c>
      <c r="E45" s="8" t="s">
        <v>142</v>
      </c>
      <c r="F45" s="10" t="s">
        <v>445</v>
      </c>
      <c r="G45" s="10" t="s">
        <v>8</v>
      </c>
      <c r="H45" s="30"/>
      <c r="I45" s="30"/>
      <c r="J45" s="30"/>
      <c r="K45" s="30"/>
    </row>
    <row r="46" spans="1:11" ht="21" customHeight="1" x14ac:dyDescent="0.45">
      <c r="A46" s="29" t="s">
        <v>48</v>
      </c>
      <c r="B46" s="6" t="s">
        <v>48</v>
      </c>
      <c r="C46" s="6" t="s">
        <v>17</v>
      </c>
      <c r="D46" s="48" t="s">
        <v>449</v>
      </c>
      <c r="E46" s="8" t="s">
        <v>142</v>
      </c>
      <c r="F46" s="10" t="s">
        <v>445</v>
      </c>
      <c r="G46" s="10" t="s">
        <v>8</v>
      </c>
      <c r="H46" s="30"/>
      <c r="I46" s="30"/>
      <c r="J46" s="30"/>
      <c r="K46" s="30"/>
    </row>
    <row r="47" spans="1:11" ht="21" customHeight="1" x14ac:dyDescent="0.45">
      <c r="A47" s="29" t="s">
        <v>48</v>
      </c>
      <c r="B47" s="6" t="s">
        <v>48</v>
      </c>
      <c r="C47" s="6" t="s">
        <v>17</v>
      </c>
      <c r="D47" s="48" t="s">
        <v>449</v>
      </c>
      <c r="E47" s="8" t="s">
        <v>142</v>
      </c>
      <c r="F47" s="10" t="s">
        <v>445</v>
      </c>
      <c r="G47" s="10" t="s">
        <v>8</v>
      </c>
      <c r="H47" s="30"/>
      <c r="I47" s="30"/>
      <c r="J47" s="30"/>
      <c r="K47" s="30"/>
    </row>
    <row r="75" x14ac:dyDescent="0.45"/>
    <row r="76" x14ac:dyDescent="0.45"/>
    <row r="77" x14ac:dyDescent="0.45"/>
  </sheetData>
  <mergeCells count="4">
    <mergeCell ref="B2:C2"/>
    <mergeCell ref="D2:E2"/>
    <mergeCell ref="I12:J12"/>
    <mergeCell ref="I27:J27"/>
  </mergeCells>
  <pageMargins left="0.25" right="0.25" top="0.75" bottom="0.75" header="0.3" footer="0.3"/>
  <pageSetup paperSize="9" scale="53" orientation="landscape" horizontalDpi="300" verticalDpi="300"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79645-8F14-4A70-8009-F3107952496D}">
  <dimension ref="A1:K72"/>
  <sheetViews>
    <sheetView zoomScale="70" zoomScaleNormal="70" workbookViewId="0">
      <selection activeCell="A4" sqref="A4"/>
    </sheetView>
  </sheetViews>
  <sheetFormatPr baseColWidth="10" defaultRowHeight="14.25" x14ac:dyDescent="0.45"/>
  <cols>
    <col min="1" max="1" width="36.59765625" customWidth="1"/>
    <col min="2" max="2" width="25.265625" customWidth="1"/>
    <col min="3" max="3" width="25.33203125" customWidth="1"/>
    <col min="4" max="4" width="18.796875" customWidth="1"/>
    <col min="5" max="5" width="27.59765625" customWidth="1"/>
    <col min="6" max="6" width="38.59765625" customWidth="1"/>
    <col min="7" max="7" width="13.06640625" customWidth="1"/>
    <col min="9" max="9" width="14.06640625" customWidth="1"/>
    <col min="10" max="10" width="41.33203125" customWidth="1"/>
  </cols>
  <sheetData>
    <row r="1" spans="1:11" ht="54" customHeight="1" x14ac:dyDescent="0.45">
      <c r="A1" s="37" t="s">
        <v>49</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50</v>
      </c>
      <c r="B4" s="6" t="s">
        <v>51</v>
      </c>
      <c r="C4" s="6" t="s">
        <v>52</v>
      </c>
      <c r="D4" s="48" t="s">
        <v>449</v>
      </c>
      <c r="E4" s="8" t="s">
        <v>144</v>
      </c>
      <c r="F4" s="10" t="s">
        <v>144</v>
      </c>
      <c r="G4" s="10" t="s">
        <v>8</v>
      </c>
      <c r="H4" s="30"/>
      <c r="I4" s="10">
        <f>COUNTIF(Tabelle122653[[#All],[Merged Theme]],Tabelle109512[[#This Row],[Merged Theme]])</f>
        <v>17</v>
      </c>
      <c r="J4" s="16" t="s">
        <v>148</v>
      </c>
      <c r="K4" s="9"/>
    </row>
    <row r="5" spans="1:11" ht="21" customHeight="1" x14ac:dyDescent="0.45">
      <c r="A5" s="29" t="s">
        <v>54</v>
      </c>
      <c r="B5" s="6" t="s">
        <v>51</v>
      </c>
      <c r="C5" s="6" t="s">
        <v>52</v>
      </c>
      <c r="D5" s="48" t="s">
        <v>449</v>
      </c>
      <c r="E5" s="8" t="s">
        <v>144</v>
      </c>
      <c r="F5" s="10" t="s">
        <v>144</v>
      </c>
      <c r="G5" s="10" t="s">
        <v>8</v>
      </c>
      <c r="H5" s="30"/>
      <c r="I5" s="10">
        <f>COUNTIF(Tabelle122653[[#All],[Merged Theme]],Tabelle109512[[#This Row],[Merged Theme]])</f>
        <v>16</v>
      </c>
      <c r="J5" s="16" t="s">
        <v>446</v>
      </c>
      <c r="K5" s="9"/>
    </row>
    <row r="6" spans="1:11" ht="21" customHeight="1" x14ac:dyDescent="0.45">
      <c r="A6" s="29" t="s">
        <v>52</v>
      </c>
      <c r="B6" s="6" t="s">
        <v>51</v>
      </c>
      <c r="C6" s="6" t="s">
        <v>52</v>
      </c>
      <c r="D6" s="48" t="s">
        <v>449</v>
      </c>
      <c r="E6" s="8" t="s">
        <v>144</v>
      </c>
      <c r="F6" s="10" t="s">
        <v>144</v>
      </c>
      <c r="G6" s="10" t="s">
        <v>8</v>
      </c>
      <c r="H6" s="30"/>
      <c r="I6" s="10">
        <f>COUNTIF(Tabelle122653[[#All],[Merged Theme]],Tabelle109512[[#This Row],[Merged Theme]])</f>
        <v>15</v>
      </c>
      <c r="J6" s="16" t="s">
        <v>448</v>
      </c>
      <c r="K6" s="9"/>
    </row>
    <row r="7" spans="1:11" ht="21" customHeight="1" x14ac:dyDescent="0.45">
      <c r="A7" s="29" t="s">
        <v>56</v>
      </c>
      <c r="B7" s="6" t="s">
        <v>51</v>
      </c>
      <c r="C7" s="6" t="s">
        <v>52</v>
      </c>
      <c r="D7" s="48" t="s">
        <v>449</v>
      </c>
      <c r="E7" s="8" t="s">
        <v>144</v>
      </c>
      <c r="F7" s="10" t="s">
        <v>144</v>
      </c>
      <c r="G7" s="10" t="s">
        <v>8</v>
      </c>
      <c r="H7" s="30"/>
      <c r="I7" s="10">
        <f>COUNTIF(Tabelle122653[[#All],[Merged Theme]],Tabelle109512[[#This Row],[Merged Theme]])</f>
        <v>13</v>
      </c>
      <c r="J7" s="16" t="s">
        <v>447</v>
      </c>
      <c r="K7" s="9"/>
    </row>
    <row r="8" spans="1:11" ht="21" customHeight="1" x14ac:dyDescent="0.45">
      <c r="A8" s="29" t="s">
        <v>58</v>
      </c>
      <c r="B8" s="6" t="s">
        <v>51</v>
      </c>
      <c r="C8" s="6" t="s">
        <v>52</v>
      </c>
      <c r="D8" s="48" t="s">
        <v>449</v>
      </c>
      <c r="E8" s="8" t="s">
        <v>144</v>
      </c>
      <c r="F8" s="10" t="s">
        <v>144</v>
      </c>
      <c r="G8" s="10" t="s">
        <v>8</v>
      </c>
      <c r="H8" s="30"/>
      <c r="I8" s="10">
        <f>COUNTIF(Tabelle122653[[#All],[Merged Theme]],Tabelle109512[[#This Row],[Merged Theme]])</f>
        <v>8</v>
      </c>
      <c r="J8" s="16" t="s">
        <v>144</v>
      </c>
      <c r="K8" s="9"/>
    </row>
    <row r="9" spans="1:11" ht="21" customHeight="1" x14ac:dyDescent="0.45">
      <c r="A9" s="29" t="s">
        <v>60</v>
      </c>
      <c r="B9" s="6" t="s">
        <v>51</v>
      </c>
      <c r="C9" s="6" t="s">
        <v>52</v>
      </c>
      <c r="D9" s="48" t="s">
        <v>449</v>
      </c>
      <c r="E9" s="8" t="s">
        <v>144</v>
      </c>
      <c r="F9" s="10" t="s">
        <v>144</v>
      </c>
      <c r="G9" s="10" t="s">
        <v>8</v>
      </c>
      <c r="H9" s="30"/>
      <c r="I9" s="17">
        <f>SUM(Tabelle109512[Mentions])</f>
        <v>69</v>
      </c>
      <c r="J9" s="18"/>
      <c r="K9" s="33"/>
    </row>
    <row r="10" spans="1:11" ht="21" customHeight="1" x14ac:dyDescent="0.45">
      <c r="A10" s="29" t="s">
        <v>62</v>
      </c>
      <c r="B10" s="6" t="s">
        <v>51</v>
      </c>
      <c r="C10" s="6" t="s">
        <v>52</v>
      </c>
      <c r="D10" s="48" t="s">
        <v>449</v>
      </c>
      <c r="E10" s="8" t="s">
        <v>145</v>
      </c>
      <c r="F10" s="10" t="s">
        <v>446</v>
      </c>
      <c r="G10" s="10" t="s">
        <v>8</v>
      </c>
      <c r="H10" s="30"/>
      <c r="I10" s="9"/>
      <c r="J10" s="9"/>
      <c r="K10" s="9"/>
    </row>
    <row r="11" spans="1:11" ht="21" customHeight="1" x14ac:dyDescent="0.45">
      <c r="A11" s="29" t="s">
        <v>64</v>
      </c>
      <c r="B11" s="6" t="s">
        <v>51</v>
      </c>
      <c r="C11" s="6" t="s">
        <v>52</v>
      </c>
      <c r="D11" s="48" t="s">
        <v>449</v>
      </c>
      <c r="E11" s="8" t="s">
        <v>144</v>
      </c>
      <c r="F11" s="10" t="s">
        <v>144</v>
      </c>
      <c r="G11" s="10" t="s">
        <v>8</v>
      </c>
      <c r="H11" s="30"/>
      <c r="I11" s="9"/>
      <c r="J11" s="9"/>
      <c r="K11" s="9"/>
    </row>
    <row r="12" spans="1:11" ht="21" customHeight="1" x14ac:dyDescent="0.65">
      <c r="A12" s="29" t="s">
        <v>66</v>
      </c>
      <c r="B12" s="6" t="s">
        <v>51</v>
      </c>
      <c r="C12" s="6" t="s">
        <v>52</v>
      </c>
      <c r="D12" s="48" t="s">
        <v>449</v>
      </c>
      <c r="E12" s="8" t="s">
        <v>144</v>
      </c>
      <c r="F12" s="10" t="s">
        <v>144</v>
      </c>
      <c r="G12" s="10" t="s">
        <v>8</v>
      </c>
      <c r="H12" s="30"/>
      <c r="I12" s="63" t="s">
        <v>451</v>
      </c>
      <c r="J12" s="63"/>
      <c r="K12" s="31"/>
    </row>
    <row r="13" spans="1:11" ht="21" customHeight="1" x14ac:dyDescent="0.55000000000000004">
      <c r="A13" s="29" t="s">
        <v>67</v>
      </c>
      <c r="B13" s="6" t="s">
        <v>57</v>
      </c>
      <c r="C13" s="6" t="s">
        <v>57</v>
      </c>
      <c r="D13" s="48" t="s">
        <v>449</v>
      </c>
      <c r="E13" s="8" t="s">
        <v>146</v>
      </c>
      <c r="F13" s="10" t="s">
        <v>148</v>
      </c>
      <c r="G13" s="10" t="s">
        <v>8</v>
      </c>
      <c r="H13" s="30"/>
      <c r="I13" s="23" t="s">
        <v>5</v>
      </c>
      <c r="J13" s="22" t="s">
        <v>3</v>
      </c>
      <c r="K13" s="34"/>
    </row>
    <row r="14" spans="1:11" ht="21" customHeight="1" x14ac:dyDescent="0.45">
      <c r="A14" s="29" t="s">
        <v>68</v>
      </c>
      <c r="B14" s="6" t="s">
        <v>57</v>
      </c>
      <c r="C14" s="6" t="s">
        <v>57</v>
      </c>
      <c r="D14" s="48" t="s">
        <v>449</v>
      </c>
      <c r="E14" s="8" t="s">
        <v>146</v>
      </c>
      <c r="F14" s="10" t="s">
        <v>148</v>
      </c>
      <c r="G14" s="10" t="s">
        <v>8</v>
      </c>
      <c r="H14" s="30"/>
      <c r="I14" s="6">
        <f>COUNTIF(Tabelle122653[A - Theme],Tabelle109111523[[#This Row],[Theme]])</f>
        <v>16</v>
      </c>
      <c r="J14" s="27" t="s">
        <v>53</v>
      </c>
      <c r="K14" s="35"/>
    </row>
    <row r="15" spans="1:11" ht="21" customHeight="1" x14ac:dyDescent="0.45">
      <c r="A15" s="29" t="s">
        <v>69</v>
      </c>
      <c r="B15" s="6" t="s">
        <v>57</v>
      </c>
      <c r="C15" s="6" t="s">
        <v>57</v>
      </c>
      <c r="D15" s="48" t="s">
        <v>449</v>
      </c>
      <c r="E15" s="8" t="s">
        <v>146</v>
      </c>
      <c r="F15" s="10" t="s">
        <v>148</v>
      </c>
      <c r="G15" s="10" t="s">
        <v>8</v>
      </c>
      <c r="H15" s="30"/>
      <c r="I15" s="6">
        <f>COUNTIF(Tabelle122653[A - Theme],Tabelle109111523[[#This Row],[Theme]])</f>
        <v>11</v>
      </c>
      <c r="J15" s="27" t="s">
        <v>55</v>
      </c>
      <c r="K15" s="35"/>
    </row>
    <row r="16" spans="1:11" ht="21" customHeight="1" x14ac:dyDescent="0.45">
      <c r="A16" s="29" t="s">
        <v>70</v>
      </c>
      <c r="B16" s="6" t="s">
        <v>57</v>
      </c>
      <c r="C16" s="6" t="s">
        <v>57</v>
      </c>
      <c r="D16" s="48" t="s">
        <v>449</v>
      </c>
      <c r="E16" s="8" t="s">
        <v>147</v>
      </c>
      <c r="F16" s="10" t="s">
        <v>447</v>
      </c>
      <c r="G16" s="10" t="s">
        <v>8</v>
      </c>
      <c r="H16" s="30"/>
      <c r="I16" s="6">
        <f>COUNTIF(Tabelle122653[A - Theme],Tabelle109111523[[#This Row],[Theme]])</f>
        <v>9</v>
      </c>
      <c r="J16" s="27" t="s">
        <v>52</v>
      </c>
      <c r="K16" s="35"/>
    </row>
    <row r="17" spans="1:11" ht="21" customHeight="1" x14ac:dyDescent="0.45">
      <c r="A17" s="29" t="s">
        <v>71</v>
      </c>
      <c r="B17" s="6" t="s">
        <v>57</v>
      </c>
      <c r="C17" s="6" t="s">
        <v>57</v>
      </c>
      <c r="D17" s="48" t="s">
        <v>449</v>
      </c>
      <c r="E17" s="8" t="s">
        <v>147</v>
      </c>
      <c r="F17" s="10" t="s">
        <v>447</v>
      </c>
      <c r="G17" s="10" t="s">
        <v>8</v>
      </c>
      <c r="H17" s="30"/>
      <c r="I17" s="6">
        <f>COUNTIF(Tabelle122653[A - Theme],Tabelle109111523[[#This Row],[Theme]])</f>
        <v>9</v>
      </c>
      <c r="J17" s="27" t="s">
        <v>57</v>
      </c>
      <c r="K17" s="35"/>
    </row>
    <row r="18" spans="1:11" ht="21" customHeight="1" x14ac:dyDescent="0.45">
      <c r="A18" s="29" t="s">
        <v>72</v>
      </c>
      <c r="B18" s="6" t="s">
        <v>57</v>
      </c>
      <c r="C18" s="6" t="s">
        <v>57</v>
      </c>
      <c r="D18" s="48" t="s">
        <v>449</v>
      </c>
      <c r="E18" s="8" t="s">
        <v>147</v>
      </c>
      <c r="F18" s="10" t="s">
        <v>447</v>
      </c>
      <c r="G18" s="10" t="s">
        <v>8</v>
      </c>
      <c r="H18" s="30"/>
      <c r="I18" s="6">
        <f>COUNTIF(Tabelle122653[A - Theme],Tabelle109111523[[#This Row],[Theme]])</f>
        <v>7</v>
      </c>
      <c r="J18" s="27" t="s">
        <v>59</v>
      </c>
      <c r="K18" s="35"/>
    </row>
    <row r="19" spans="1:11" ht="21" customHeight="1" x14ac:dyDescent="0.45">
      <c r="A19" s="29" t="s">
        <v>73</v>
      </c>
      <c r="B19" s="6" t="s">
        <v>57</v>
      </c>
      <c r="C19" s="6" t="s">
        <v>57</v>
      </c>
      <c r="D19" s="48" t="s">
        <v>449</v>
      </c>
      <c r="E19" s="8" t="s">
        <v>148</v>
      </c>
      <c r="F19" s="10" t="s">
        <v>148</v>
      </c>
      <c r="G19" s="10" t="s">
        <v>8</v>
      </c>
      <c r="H19" s="30"/>
      <c r="I19" s="6">
        <f>COUNTIF(Tabelle122653[A - Theme],Tabelle109111523[[#This Row],[Theme]])</f>
        <v>6</v>
      </c>
      <c r="J19" s="27" t="s">
        <v>61</v>
      </c>
      <c r="K19" s="35"/>
    </row>
    <row r="20" spans="1:11" ht="21" customHeight="1" x14ac:dyDescent="0.45">
      <c r="A20" s="29" t="s">
        <v>74</v>
      </c>
      <c r="B20" s="6" t="s">
        <v>57</v>
      </c>
      <c r="C20" s="6" t="s">
        <v>57</v>
      </c>
      <c r="D20" s="48" t="s">
        <v>449</v>
      </c>
      <c r="E20" s="8" t="s">
        <v>147</v>
      </c>
      <c r="F20" s="10" t="s">
        <v>447</v>
      </c>
      <c r="G20" s="10" t="s">
        <v>8</v>
      </c>
      <c r="H20" s="30"/>
      <c r="I20" s="6">
        <f>COUNTIF(Tabelle122653[A - Theme],Tabelle109111523[[#This Row],[Theme]])</f>
        <v>6</v>
      </c>
      <c r="J20" s="27" t="s">
        <v>63</v>
      </c>
      <c r="K20" s="35"/>
    </row>
    <row r="21" spans="1:11" ht="21" customHeight="1" x14ac:dyDescent="0.45">
      <c r="A21" s="29" t="s">
        <v>75</v>
      </c>
      <c r="B21" s="6" t="s">
        <v>57</v>
      </c>
      <c r="C21" s="6" t="s">
        <v>57</v>
      </c>
      <c r="D21" s="48" t="s">
        <v>449</v>
      </c>
      <c r="E21" s="8" t="s">
        <v>147</v>
      </c>
      <c r="F21" s="10" t="s">
        <v>447</v>
      </c>
      <c r="G21" s="10" t="s">
        <v>8</v>
      </c>
      <c r="H21" s="30"/>
      <c r="I21" s="6">
        <f>COUNTIF(Tabelle122653[A - Theme],Tabelle109111523[[#This Row],[Theme]])</f>
        <v>5</v>
      </c>
      <c r="J21" s="27" t="s">
        <v>65</v>
      </c>
      <c r="K21" s="35"/>
    </row>
    <row r="22" spans="1:11" ht="21" customHeight="1" x14ac:dyDescent="0.45">
      <c r="A22" s="29" t="s">
        <v>61</v>
      </c>
      <c r="B22" s="6" t="s">
        <v>61</v>
      </c>
      <c r="C22" s="6" t="s">
        <v>61</v>
      </c>
      <c r="D22" s="48" t="s">
        <v>449</v>
      </c>
      <c r="E22" s="8" t="s">
        <v>145</v>
      </c>
      <c r="F22" s="10" t="s">
        <v>446</v>
      </c>
      <c r="G22" s="10" t="s">
        <v>8</v>
      </c>
      <c r="H22" s="30"/>
      <c r="I22" s="20">
        <f>SUM(Tabelle109111523[Mentions])</f>
        <v>69</v>
      </c>
      <c r="J22" s="21"/>
      <c r="K22" s="35"/>
    </row>
    <row r="23" spans="1:11" ht="21" customHeight="1" x14ac:dyDescent="0.45">
      <c r="A23" s="29" t="s">
        <v>61</v>
      </c>
      <c r="B23" s="6" t="s">
        <v>61</v>
      </c>
      <c r="C23" s="6" t="s">
        <v>61</v>
      </c>
      <c r="D23" s="48" t="s">
        <v>449</v>
      </c>
      <c r="E23" s="8" t="s">
        <v>145</v>
      </c>
      <c r="F23" s="10" t="s">
        <v>446</v>
      </c>
      <c r="G23" s="10" t="s">
        <v>8</v>
      </c>
      <c r="H23" s="30"/>
      <c r="I23" s="30"/>
      <c r="J23" s="30"/>
      <c r="K23" s="35"/>
    </row>
    <row r="24" spans="1:11" ht="21" customHeight="1" x14ac:dyDescent="0.45">
      <c r="A24" s="29" t="s">
        <v>76</v>
      </c>
      <c r="B24" s="6" t="s">
        <v>61</v>
      </c>
      <c r="C24" s="6" t="s">
        <v>61</v>
      </c>
      <c r="D24" s="48" t="s">
        <v>449</v>
      </c>
      <c r="E24" s="8" t="s">
        <v>145</v>
      </c>
      <c r="F24" s="10" t="s">
        <v>446</v>
      </c>
      <c r="G24" s="10" t="s">
        <v>8</v>
      </c>
      <c r="H24" s="30"/>
      <c r="I24" s="30"/>
      <c r="J24" s="30"/>
      <c r="K24" s="33"/>
    </row>
    <row r="25" spans="1:11" ht="21" customHeight="1" x14ac:dyDescent="0.65">
      <c r="A25" s="29" t="s">
        <v>76</v>
      </c>
      <c r="B25" s="6" t="s">
        <v>61</v>
      </c>
      <c r="C25" s="6" t="s">
        <v>61</v>
      </c>
      <c r="D25" s="48" t="s">
        <v>449</v>
      </c>
      <c r="E25" s="8" t="s">
        <v>145</v>
      </c>
      <c r="F25" s="10" t="s">
        <v>446</v>
      </c>
      <c r="G25" s="10" t="s">
        <v>8</v>
      </c>
      <c r="H25" s="30"/>
      <c r="I25" s="64" t="s">
        <v>452</v>
      </c>
      <c r="J25" s="64"/>
      <c r="K25" s="30"/>
    </row>
    <row r="26" spans="1:11" ht="21" customHeight="1" x14ac:dyDescent="0.55000000000000004">
      <c r="A26" s="29" t="s">
        <v>77</v>
      </c>
      <c r="B26" s="6" t="s">
        <v>61</v>
      </c>
      <c r="C26" s="6" t="s">
        <v>61</v>
      </c>
      <c r="D26" s="48" t="s">
        <v>449</v>
      </c>
      <c r="E26" s="8" t="s">
        <v>145</v>
      </c>
      <c r="F26" s="10" t="s">
        <v>446</v>
      </c>
      <c r="G26" s="10" t="s">
        <v>8</v>
      </c>
      <c r="H26" s="30"/>
      <c r="I26" s="19" t="s">
        <v>5</v>
      </c>
      <c r="J26" s="19" t="s">
        <v>3</v>
      </c>
      <c r="K26" s="30"/>
    </row>
    <row r="27" spans="1:11" ht="21" customHeight="1" x14ac:dyDescent="0.65">
      <c r="A27" s="29" t="s">
        <v>78</v>
      </c>
      <c r="B27" s="6" t="s">
        <v>61</v>
      </c>
      <c r="C27" s="6" t="s">
        <v>61</v>
      </c>
      <c r="D27" s="48" t="s">
        <v>449</v>
      </c>
      <c r="E27" s="8" t="s">
        <v>145</v>
      </c>
      <c r="F27" s="10" t="s">
        <v>446</v>
      </c>
      <c r="G27" s="10" t="s">
        <v>8</v>
      </c>
      <c r="H27" s="30"/>
      <c r="I27" s="8">
        <f>COUNTIF(Tabelle122653[B - Theme],Tabelle109111112587[[#This Row],[Theme]])</f>
        <v>15</v>
      </c>
      <c r="J27" s="26" t="s">
        <v>145</v>
      </c>
      <c r="K27" s="31"/>
    </row>
    <row r="28" spans="1:11" ht="21" customHeight="1" x14ac:dyDescent="0.55000000000000004">
      <c r="A28" s="29" t="s">
        <v>55</v>
      </c>
      <c r="B28" s="6" t="s">
        <v>79</v>
      </c>
      <c r="C28" s="6" t="s">
        <v>55</v>
      </c>
      <c r="D28" s="48" t="s">
        <v>449</v>
      </c>
      <c r="E28" s="8" t="s">
        <v>146</v>
      </c>
      <c r="F28" s="10" t="s">
        <v>448</v>
      </c>
      <c r="G28" s="10" t="s">
        <v>8</v>
      </c>
      <c r="H28" s="30"/>
      <c r="I28" s="8">
        <f>COUNTIF(Tabelle122653[B - Theme],Tabelle109111112587[[#This Row],[Theme]])</f>
        <v>17</v>
      </c>
      <c r="J28" s="26" t="s">
        <v>146</v>
      </c>
      <c r="K28" s="34"/>
    </row>
    <row r="29" spans="1:11" ht="21" customHeight="1" x14ac:dyDescent="0.45">
      <c r="A29" s="29" t="s">
        <v>80</v>
      </c>
      <c r="B29" s="6" t="s">
        <v>79</v>
      </c>
      <c r="C29" s="6" t="s">
        <v>55</v>
      </c>
      <c r="D29" s="48" t="s">
        <v>449</v>
      </c>
      <c r="E29" s="8" t="s">
        <v>146</v>
      </c>
      <c r="F29" s="10" t="s">
        <v>448</v>
      </c>
      <c r="G29" s="10" t="s">
        <v>8</v>
      </c>
      <c r="H29" s="30"/>
      <c r="I29" s="8">
        <f>COUNTIF(Tabelle122653[B - Theme],Tabelle109111112587[[#This Row],[Theme]])</f>
        <v>8</v>
      </c>
      <c r="J29" s="26" t="s">
        <v>144</v>
      </c>
      <c r="K29" s="9"/>
    </row>
    <row r="30" spans="1:11" ht="21" customHeight="1" x14ac:dyDescent="0.45">
      <c r="A30" s="29" t="s">
        <v>81</v>
      </c>
      <c r="B30" s="6" t="s">
        <v>79</v>
      </c>
      <c r="C30" s="6" t="s">
        <v>55</v>
      </c>
      <c r="D30" s="48" t="s">
        <v>449</v>
      </c>
      <c r="E30" s="8" t="s">
        <v>146</v>
      </c>
      <c r="F30" s="10" t="s">
        <v>448</v>
      </c>
      <c r="G30" s="10" t="s">
        <v>8</v>
      </c>
      <c r="H30" s="30"/>
      <c r="I30" s="8">
        <f>COUNTIF(Tabelle122653[B - Theme],Tabelle109111112587[[#This Row],[Theme]])</f>
        <v>13</v>
      </c>
      <c r="J30" s="26" t="s">
        <v>147</v>
      </c>
      <c r="K30" s="9"/>
    </row>
    <row r="31" spans="1:11" ht="21" customHeight="1" x14ac:dyDescent="0.45">
      <c r="A31" s="29" t="s">
        <v>82</v>
      </c>
      <c r="B31" s="6" t="s">
        <v>79</v>
      </c>
      <c r="C31" s="6" t="s">
        <v>55</v>
      </c>
      <c r="D31" s="48" t="s">
        <v>449</v>
      </c>
      <c r="E31" s="8" t="s">
        <v>146</v>
      </c>
      <c r="F31" s="10" t="s">
        <v>448</v>
      </c>
      <c r="G31" s="10" t="s">
        <v>8</v>
      </c>
      <c r="H31" s="30"/>
      <c r="I31" s="8">
        <f>COUNTIF(Tabelle122653[B - Theme],Tabelle109111112587[[#This Row],[Theme]])</f>
        <v>16</v>
      </c>
      <c r="J31" s="26" t="s">
        <v>148</v>
      </c>
      <c r="K31" s="9"/>
    </row>
    <row r="32" spans="1:11" ht="21" customHeight="1" x14ac:dyDescent="0.45">
      <c r="A32" s="29" t="s">
        <v>83</v>
      </c>
      <c r="B32" s="6" t="s">
        <v>79</v>
      </c>
      <c r="C32" s="6" t="s">
        <v>55</v>
      </c>
      <c r="D32" s="48" t="s">
        <v>449</v>
      </c>
      <c r="E32" s="8" t="s">
        <v>146</v>
      </c>
      <c r="F32" s="10" t="s">
        <v>448</v>
      </c>
      <c r="G32" s="10" t="s">
        <v>8</v>
      </c>
      <c r="H32" s="30"/>
      <c r="I32" s="24">
        <f>SUM(Tabelle109111112587[Mentions])</f>
        <v>69</v>
      </c>
      <c r="J32" s="25"/>
      <c r="K32" s="9"/>
    </row>
    <row r="33" spans="1:11" ht="21" customHeight="1" x14ac:dyDescent="0.45">
      <c r="A33" s="29" t="s">
        <v>83</v>
      </c>
      <c r="B33" s="6" t="s">
        <v>79</v>
      </c>
      <c r="C33" s="6" t="s">
        <v>55</v>
      </c>
      <c r="D33" s="48" t="s">
        <v>449</v>
      </c>
      <c r="E33" s="8" t="s">
        <v>146</v>
      </c>
      <c r="F33" s="10" t="s">
        <v>448</v>
      </c>
      <c r="G33" s="10" t="s">
        <v>8</v>
      </c>
      <c r="H33" s="30"/>
      <c r="I33" s="30"/>
      <c r="J33" s="30"/>
      <c r="K33" s="33"/>
    </row>
    <row r="34" spans="1:11" ht="21" customHeight="1" x14ac:dyDescent="0.45">
      <c r="A34" s="29" t="s">
        <v>84</v>
      </c>
      <c r="B34" s="6" t="s">
        <v>79</v>
      </c>
      <c r="C34" s="6" t="s">
        <v>55</v>
      </c>
      <c r="D34" s="48" t="s">
        <v>449</v>
      </c>
      <c r="E34" s="8" t="s">
        <v>146</v>
      </c>
      <c r="F34" s="10" t="s">
        <v>448</v>
      </c>
      <c r="G34" s="10" t="s">
        <v>8</v>
      </c>
      <c r="H34" s="30"/>
      <c r="I34" s="30"/>
      <c r="J34" s="30"/>
      <c r="K34" s="30"/>
    </row>
    <row r="35" spans="1:11" ht="21" customHeight="1" x14ac:dyDescent="0.45">
      <c r="A35" s="29" t="s">
        <v>85</v>
      </c>
      <c r="B35" s="6" t="s">
        <v>79</v>
      </c>
      <c r="C35" s="6" t="s">
        <v>55</v>
      </c>
      <c r="D35" s="48" t="s">
        <v>449</v>
      </c>
      <c r="E35" s="8" t="s">
        <v>146</v>
      </c>
      <c r="F35" s="10" t="s">
        <v>448</v>
      </c>
      <c r="G35" s="10" t="s">
        <v>8</v>
      </c>
      <c r="H35" s="30"/>
      <c r="I35" s="30"/>
      <c r="J35" s="30"/>
      <c r="K35" s="30"/>
    </row>
    <row r="36" spans="1:11" ht="21" customHeight="1" x14ac:dyDescent="0.45">
      <c r="A36" s="29" t="s">
        <v>86</v>
      </c>
      <c r="B36" s="6" t="s">
        <v>79</v>
      </c>
      <c r="C36" s="6" t="s">
        <v>55</v>
      </c>
      <c r="D36" s="48" t="s">
        <v>449</v>
      </c>
      <c r="E36" s="8" t="s">
        <v>148</v>
      </c>
      <c r="F36" s="10" t="s">
        <v>448</v>
      </c>
      <c r="G36" s="10" t="s">
        <v>8</v>
      </c>
      <c r="H36" s="30"/>
      <c r="I36" s="30"/>
      <c r="J36" s="30"/>
      <c r="K36" s="30"/>
    </row>
    <row r="37" spans="1:11" ht="21" customHeight="1" x14ac:dyDescent="0.45">
      <c r="A37" s="29" t="s">
        <v>87</v>
      </c>
      <c r="B37" s="6" t="s">
        <v>79</v>
      </c>
      <c r="C37" s="6" t="s">
        <v>55</v>
      </c>
      <c r="D37" s="48" t="s">
        <v>449</v>
      </c>
      <c r="E37" s="8" t="s">
        <v>148</v>
      </c>
      <c r="F37" s="10" t="s">
        <v>448</v>
      </c>
      <c r="G37" s="10" t="s">
        <v>8</v>
      </c>
      <c r="H37" s="30"/>
      <c r="I37" s="30"/>
      <c r="J37" s="30"/>
      <c r="K37" s="30"/>
    </row>
    <row r="38" spans="1:11" ht="21" customHeight="1" x14ac:dyDescent="0.45">
      <c r="A38" s="29" t="s">
        <v>84</v>
      </c>
      <c r="B38" s="6" t="s">
        <v>79</v>
      </c>
      <c r="C38" s="6" t="s">
        <v>55</v>
      </c>
      <c r="D38" s="48" t="s">
        <v>449</v>
      </c>
      <c r="E38" s="8" t="s">
        <v>146</v>
      </c>
      <c r="F38" s="10" t="s">
        <v>448</v>
      </c>
      <c r="G38" s="10" t="s">
        <v>8</v>
      </c>
      <c r="H38" s="30"/>
      <c r="I38" s="30"/>
      <c r="J38" s="30"/>
      <c r="K38" s="30"/>
    </row>
    <row r="39" spans="1:11" ht="21" customHeight="1" x14ac:dyDescent="0.45">
      <c r="A39" s="29" t="s">
        <v>88</v>
      </c>
      <c r="B39" s="7" t="s">
        <v>89</v>
      </c>
      <c r="C39" s="7" t="s">
        <v>63</v>
      </c>
      <c r="D39" s="48" t="s">
        <v>449</v>
      </c>
      <c r="E39" s="8" t="s">
        <v>146</v>
      </c>
      <c r="F39" s="10" t="s">
        <v>446</v>
      </c>
      <c r="G39" s="10" t="s">
        <v>8</v>
      </c>
      <c r="H39" s="30"/>
      <c r="I39" s="30"/>
      <c r="J39" s="30"/>
      <c r="K39" s="30"/>
    </row>
    <row r="40" spans="1:11" ht="21" customHeight="1" x14ac:dyDescent="0.45">
      <c r="A40" s="29" t="s">
        <v>90</v>
      </c>
      <c r="B40" s="6" t="s">
        <v>89</v>
      </c>
      <c r="C40" s="6" t="s">
        <v>63</v>
      </c>
      <c r="D40" s="48" t="s">
        <v>449</v>
      </c>
      <c r="E40" s="8" t="s">
        <v>146</v>
      </c>
      <c r="F40" s="10" t="s">
        <v>448</v>
      </c>
      <c r="G40" s="10" t="s">
        <v>8</v>
      </c>
      <c r="H40" s="30"/>
      <c r="I40" s="30"/>
      <c r="J40" s="30"/>
      <c r="K40" s="30"/>
    </row>
    <row r="41" spans="1:11" ht="21" customHeight="1" x14ac:dyDescent="0.45">
      <c r="A41" s="29" t="s">
        <v>90</v>
      </c>
      <c r="B41" s="6" t="s">
        <v>89</v>
      </c>
      <c r="C41" s="6" t="s">
        <v>63</v>
      </c>
      <c r="D41" s="48" t="s">
        <v>449</v>
      </c>
      <c r="E41" s="8" t="s">
        <v>146</v>
      </c>
      <c r="F41" s="10" t="s">
        <v>448</v>
      </c>
      <c r="G41" s="10" t="s">
        <v>8</v>
      </c>
      <c r="H41" s="30"/>
      <c r="I41" s="30"/>
      <c r="J41" s="30"/>
      <c r="K41" s="30"/>
    </row>
    <row r="42" spans="1:11" ht="21" customHeight="1" x14ac:dyDescent="0.45">
      <c r="A42" s="29" t="s">
        <v>91</v>
      </c>
      <c r="B42" s="6" t="s">
        <v>89</v>
      </c>
      <c r="C42" s="6" t="s">
        <v>63</v>
      </c>
      <c r="D42" s="48" t="s">
        <v>449</v>
      </c>
      <c r="E42" s="8" t="s">
        <v>146</v>
      </c>
      <c r="F42" s="10" t="s">
        <v>448</v>
      </c>
      <c r="G42" s="10" t="s">
        <v>8</v>
      </c>
      <c r="H42" s="30"/>
      <c r="I42" s="30"/>
      <c r="J42" s="30"/>
      <c r="K42" s="30"/>
    </row>
    <row r="43" spans="1:11" ht="21" customHeight="1" x14ac:dyDescent="0.45">
      <c r="A43" s="29" t="s">
        <v>92</v>
      </c>
      <c r="B43" s="6" t="s">
        <v>89</v>
      </c>
      <c r="C43" s="6" t="s">
        <v>63</v>
      </c>
      <c r="D43" s="48" t="s">
        <v>449</v>
      </c>
      <c r="E43" s="8" t="s">
        <v>145</v>
      </c>
      <c r="F43" s="10" t="s">
        <v>446</v>
      </c>
      <c r="G43" s="10" t="s">
        <v>8</v>
      </c>
      <c r="H43" s="30"/>
      <c r="I43" s="30"/>
      <c r="J43" s="30"/>
      <c r="K43" s="30"/>
    </row>
    <row r="44" spans="1:11" ht="21" customHeight="1" x14ac:dyDescent="0.45">
      <c r="A44" s="29" t="s">
        <v>93</v>
      </c>
      <c r="B44" s="6" t="s">
        <v>89</v>
      </c>
      <c r="C44" s="6" t="s">
        <v>63</v>
      </c>
      <c r="D44" s="48" t="s">
        <v>449</v>
      </c>
      <c r="E44" s="8" t="s">
        <v>146</v>
      </c>
      <c r="F44" s="10" t="s">
        <v>448</v>
      </c>
      <c r="G44" s="10" t="s">
        <v>8</v>
      </c>
      <c r="H44" s="30"/>
      <c r="I44" s="30"/>
      <c r="J44" s="30"/>
      <c r="K44" s="30"/>
    </row>
    <row r="45" spans="1:11" ht="21" customHeight="1" x14ac:dyDescent="0.45">
      <c r="A45" s="29" t="s">
        <v>94</v>
      </c>
      <c r="B45" s="6" t="s">
        <v>95</v>
      </c>
      <c r="C45" s="6" t="s">
        <v>59</v>
      </c>
      <c r="D45" s="48" t="s">
        <v>449</v>
      </c>
      <c r="E45" s="8" t="s">
        <v>145</v>
      </c>
      <c r="F45" s="10" t="s">
        <v>446</v>
      </c>
      <c r="G45" s="10" t="s">
        <v>8</v>
      </c>
      <c r="H45" s="30"/>
      <c r="I45" s="30"/>
      <c r="J45" s="30"/>
      <c r="K45" s="30"/>
    </row>
    <row r="46" spans="1:11" ht="21" customHeight="1" x14ac:dyDescent="0.45">
      <c r="A46" s="29" t="s">
        <v>96</v>
      </c>
      <c r="B46" s="6" t="s">
        <v>95</v>
      </c>
      <c r="C46" s="6" t="s">
        <v>59</v>
      </c>
      <c r="D46" s="48" t="s">
        <v>449</v>
      </c>
      <c r="E46" s="8" t="s">
        <v>145</v>
      </c>
      <c r="F46" s="10" t="s">
        <v>446</v>
      </c>
      <c r="G46" s="10" t="s">
        <v>8</v>
      </c>
      <c r="H46" s="30"/>
      <c r="I46" s="30"/>
      <c r="J46" s="30"/>
      <c r="K46" s="30"/>
    </row>
    <row r="47" spans="1:11" ht="21" customHeight="1" x14ac:dyDescent="0.45">
      <c r="A47" s="29" t="s">
        <v>97</v>
      </c>
      <c r="B47" s="6" t="s">
        <v>95</v>
      </c>
      <c r="C47" s="6" t="s">
        <v>59</v>
      </c>
      <c r="D47" s="48" t="s">
        <v>449</v>
      </c>
      <c r="E47" s="8" t="s">
        <v>145</v>
      </c>
      <c r="F47" s="10" t="s">
        <v>446</v>
      </c>
      <c r="G47" s="10" t="s">
        <v>8</v>
      </c>
      <c r="H47" s="30"/>
      <c r="I47" s="30"/>
      <c r="J47" s="30"/>
      <c r="K47" s="30"/>
    </row>
    <row r="48" spans="1:11" ht="21" customHeight="1" x14ac:dyDescent="0.45">
      <c r="A48" s="29" t="s">
        <v>98</v>
      </c>
      <c r="B48" s="6" t="s">
        <v>95</v>
      </c>
      <c r="C48" s="6" t="s">
        <v>59</v>
      </c>
      <c r="D48" s="48" t="s">
        <v>449</v>
      </c>
      <c r="E48" s="8" t="s">
        <v>145</v>
      </c>
      <c r="F48" s="10" t="s">
        <v>446</v>
      </c>
      <c r="G48" s="10" t="s">
        <v>8</v>
      </c>
      <c r="H48" s="30"/>
      <c r="I48" s="30"/>
      <c r="J48" s="30"/>
      <c r="K48" s="30"/>
    </row>
    <row r="49" spans="1:11" ht="21" customHeight="1" x14ac:dyDescent="0.45">
      <c r="A49" s="29" t="s">
        <v>99</v>
      </c>
      <c r="B49" s="6" t="s">
        <v>95</v>
      </c>
      <c r="C49" s="6" t="s">
        <v>59</v>
      </c>
      <c r="D49" s="48" t="s">
        <v>449</v>
      </c>
      <c r="E49" s="8" t="s">
        <v>145</v>
      </c>
      <c r="F49" s="10" t="s">
        <v>446</v>
      </c>
      <c r="G49" s="10" t="s">
        <v>8</v>
      </c>
      <c r="H49" s="30"/>
      <c r="I49" s="30"/>
      <c r="J49" s="30"/>
      <c r="K49" s="30"/>
    </row>
    <row r="50" spans="1:11" ht="21" customHeight="1" x14ac:dyDescent="0.45">
      <c r="A50" s="29" t="s">
        <v>100</v>
      </c>
      <c r="B50" s="6" t="s">
        <v>95</v>
      </c>
      <c r="C50" s="6" t="s">
        <v>59</v>
      </c>
      <c r="D50" s="48" t="s">
        <v>449</v>
      </c>
      <c r="E50" s="8" t="s">
        <v>145</v>
      </c>
      <c r="F50" s="10" t="s">
        <v>446</v>
      </c>
      <c r="G50" s="10" t="s">
        <v>8</v>
      </c>
      <c r="H50" s="30"/>
      <c r="I50" s="30"/>
      <c r="J50" s="30"/>
      <c r="K50" s="30"/>
    </row>
    <row r="51" spans="1:11" ht="21" customHeight="1" x14ac:dyDescent="0.45">
      <c r="A51" s="29" t="s">
        <v>101</v>
      </c>
      <c r="B51" s="6" t="s">
        <v>95</v>
      </c>
      <c r="C51" s="6" t="s">
        <v>59</v>
      </c>
      <c r="D51" s="48" t="s">
        <v>449</v>
      </c>
      <c r="E51" s="8" t="s">
        <v>145</v>
      </c>
      <c r="F51" s="10" t="s">
        <v>446</v>
      </c>
      <c r="G51" s="10" t="s">
        <v>8</v>
      </c>
      <c r="H51" s="30"/>
      <c r="I51" s="30"/>
      <c r="J51" s="30"/>
      <c r="K51" s="30"/>
    </row>
    <row r="52" spans="1:11" ht="21" customHeight="1" x14ac:dyDescent="0.45">
      <c r="A52" s="29" t="s">
        <v>102</v>
      </c>
      <c r="B52" s="6" t="s">
        <v>103</v>
      </c>
      <c r="C52" s="6" t="s">
        <v>53</v>
      </c>
      <c r="D52" s="48" t="s">
        <v>449</v>
      </c>
      <c r="E52" s="8" t="s">
        <v>147</v>
      </c>
      <c r="F52" s="10" t="s">
        <v>447</v>
      </c>
      <c r="G52" s="10" t="s">
        <v>8</v>
      </c>
      <c r="H52" s="30"/>
      <c r="I52" s="30"/>
      <c r="J52" s="30"/>
      <c r="K52" s="30"/>
    </row>
    <row r="53" spans="1:11" ht="21" customHeight="1" x14ac:dyDescent="0.45">
      <c r="A53" s="29" t="s">
        <v>104</v>
      </c>
      <c r="B53" s="6" t="s">
        <v>103</v>
      </c>
      <c r="C53" s="6" t="s">
        <v>53</v>
      </c>
      <c r="D53" s="48" t="s">
        <v>449</v>
      </c>
      <c r="E53" s="8" t="s">
        <v>147</v>
      </c>
      <c r="F53" s="10" t="s">
        <v>447</v>
      </c>
      <c r="G53" s="10" t="s">
        <v>8</v>
      </c>
      <c r="H53" s="30"/>
      <c r="I53" s="30"/>
      <c r="J53" s="30"/>
      <c r="K53" s="30"/>
    </row>
    <row r="54" spans="1:11" ht="21" customHeight="1" x14ac:dyDescent="0.45">
      <c r="A54" s="29" t="s">
        <v>105</v>
      </c>
      <c r="B54" s="6" t="s">
        <v>103</v>
      </c>
      <c r="C54" s="6" t="s">
        <v>53</v>
      </c>
      <c r="D54" s="48" t="s">
        <v>449</v>
      </c>
      <c r="E54" s="8" t="s">
        <v>147</v>
      </c>
      <c r="F54" s="10" t="s">
        <v>447</v>
      </c>
      <c r="G54" s="10" t="s">
        <v>8</v>
      </c>
      <c r="H54" s="30"/>
      <c r="I54" s="30"/>
      <c r="J54" s="30"/>
      <c r="K54" s="30"/>
    </row>
    <row r="55" spans="1:11" ht="21" customHeight="1" x14ac:dyDescent="0.45">
      <c r="A55" s="29" t="s">
        <v>104</v>
      </c>
      <c r="B55" s="6" t="s">
        <v>103</v>
      </c>
      <c r="C55" s="6" t="s">
        <v>53</v>
      </c>
      <c r="D55" s="48" t="s">
        <v>449</v>
      </c>
      <c r="E55" s="8" t="s">
        <v>147</v>
      </c>
      <c r="F55" s="10" t="s">
        <v>447</v>
      </c>
      <c r="G55" s="10" t="s">
        <v>8</v>
      </c>
      <c r="H55" s="30"/>
      <c r="I55" s="30"/>
      <c r="J55" s="30"/>
      <c r="K55" s="30"/>
    </row>
    <row r="56" spans="1:11" ht="21" customHeight="1" x14ac:dyDescent="0.45">
      <c r="A56" s="29" t="s">
        <v>106</v>
      </c>
      <c r="B56" s="6" t="s">
        <v>103</v>
      </c>
      <c r="C56" s="6" t="s">
        <v>53</v>
      </c>
      <c r="D56" s="48" t="s">
        <v>449</v>
      </c>
      <c r="E56" s="8" t="s">
        <v>147</v>
      </c>
      <c r="F56" s="10" t="s">
        <v>447</v>
      </c>
      <c r="G56" s="10" t="s">
        <v>8</v>
      </c>
      <c r="H56" s="30"/>
      <c r="I56" s="30"/>
      <c r="J56" s="30"/>
      <c r="K56" s="30"/>
    </row>
    <row r="57" spans="1:11" ht="21" customHeight="1" x14ac:dyDescent="0.45">
      <c r="A57" s="29" t="s">
        <v>107</v>
      </c>
      <c r="B57" s="6" t="s">
        <v>103</v>
      </c>
      <c r="C57" s="6" t="s">
        <v>53</v>
      </c>
      <c r="D57" s="48" t="s">
        <v>449</v>
      </c>
      <c r="E57" s="8" t="s">
        <v>147</v>
      </c>
      <c r="F57" s="10" t="s">
        <v>447</v>
      </c>
      <c r="G57" s="10" t="s">
        <v>8</v>
      </c>
      <c r="H57" s="30"/>
      <c r="I57" s="30"/>
      <c r="J57" s="30"/>
      <c r="K57" s="30"/>
    </row>
    <row r="58" spans="1:11" ht="21" customHeight="1" x14ac:dyDescent="0.45">
      <c r="A58" s="29" t="s">
        <v>107</v>
      </c>
      <c r="B58" s="6" t="s">
        <v>103</v>
      </c>
      <c r="C58" s="6" t="s">
        <v>53</v>
      </c>
      <c r="D58" s="48" t="s">
        <v>449</v>
      </c>
      <c r="E58" s="8" t="s">
        <v>147</v>
      </c>
      <c r="F58" s="10" t="s">
        <v>447</v>
      </c>
      <c r="G58" s="10" t="s">
        <v>8</v>
      </c>
      <c r="H58" s="30"/>
      <c r="I58" s="30"/>
      <c r="J58" s="30"/>
      <c r="K58" s="30"/>
    </row>
    <row r="59" spans="1:11" ht="21" customHeight="1" x14ac:dyDescent="0.45">
      <c r="A59" s="29" t="s">
        <v>108</v>
      </c>
      <c r="B59" s="6" t="s">
        <v>103</v>
      </c>
      <c r="C59" s="6" t="s">
        <v>53</v>
      </c>
      <c r="D59" s="48" t="s">
        <v>449</v>
      </c>
      <c r="E59" s="8" t="s">
        <v>147</v>
      </c>
      <c r="F59" s="10" t="s">
        <v>447</v>
      </c>
      <c r="G59" s="10" t="s">
        <v>8</v>
      </c>
      <c r="H59" s="30"/>
      <c r="I59" s="30"/>
      <c r="J59" s="30"/>
      <c r="K59" s="30"/>
    </row>
    <row r="60" spans="1:11" ht="21" customHeight="1" x14ac:dyDescent="0.45">
      <c r="A60" s="29" t="s">
        <v>109</v>
      </c>
      <c r="B60" s="6" t="s">
        <v>103</v>
      </c>
      <c r="C60" s="6" t="s">
        <v>53</v>
      </c>
      <c r="D60" s="48" t="s">
        <v>449</v>
      </c>
      <c r="E60" s="8" t="s">
        <v>148</v>
      </c>
      <c r="F60" s="10" t="s">
        <v>148</v>
      </c>
      <c r="G60" s="10" t="s">
        <v>8</v>
      </c>
      <c r="H60" s="30"/>
      <c r="I60" s="30"/>
      <c r="J60" s="30"/>
      <c r="K60" s="30"/>
    </row>
    <row r="61" spans="1:11" ht="21" customHeight="1" x14ac:dyDescent="0.45">
      <c r="A61" s="29" t="s">
        <v>53</v>
      </c>
      <c r="B61" s="6" t="s">
        <v>103</v>
      </c>
      <c r="C61" s="6" t="s">
        <v>53</v>
      </c>
      <c r="D61" s="48" t="s">
        <v>449</v>
      </c>
      <c r="E61" s="8" t="s">
        <v>148</v>
      </c>
      <c r="F61" s="10" t="s">
        <v>148</v>
      </c>
      <c r="G61" s="10" t="s">
        <v>8</v>
      </c>
      <c r="H61" s="30"/>
      <c r="I61" s="30"/>
      <c r="J61" s="30"/>
      <c r="K61" s="30"/>
    </row>
    <row r="62" spans="1:11" ht="21" customHeight="1" x14ac:dyDescent="0.45">
      <c r="A62" s="29" t="s">
        <v>53</v>
      </c>
      <c r="B62" s="6" t="s">
        <v>103</v>
      </c>
      <c r="C62" s="6" t="s">
        <v>53</v>
      </c>
      <c r="D62" s="48" t="s">
        <v>449</v>
      </c>
      <c r="E62" s="8" t="s">
        <v>148</v>
      </c>
      <c r="F62" s="10" t="s">
        <v>148</v>
      </c>
      <c r="G62" s="10" t="s">
        <v>8</v>
      </c>
      <c r="H62" s="30"/>
      <c r="I62" s="30"/>
      <c r="J62" s="30"/>
      <c r="K62" s="30"/>
    </row>
    <row r="63" spans="1:11" ht="21" customHeight="1" x14ac:dyDescent="0.45">
      <c r="A63" s="29" t="s">
        <v>53</v>
      </c>
      <c r="B63" s="6" t="s">
        <v>103</v>
      </c>
      <c r="C63" s="6" t="s">
        <v>53</v>
      </c>
      <c r="D63" s="48" t="s">
        <v>449</v>
      </c>
      <c r="E63" s="8" t="s">
        <v>148</v>
      </c>
      <c r="F63" s="10" t="s">
        <v>148</v>
      </c>
      <c r="G63" s="10" t="s">
        <v>8</v>
      </c>
      <c r="H63" s="30"/>
      <c r="I63" s="30"/>
      <c r="J63" s="30"/>
      <c r="K63" s="30"/>
    </row>
    <row r="64" spans="1:11" ht="21" customHeight="1" x14ac:dyDescent="0.45">
      <c r="A64" s="29" t="s">
        <v>109</v>
      </c>
      <c r="B64" s="6" t="s">
        <v>103</v>
      </c>
      <c r="C64" s="6" t="s">
        <v>53</v>
      </c>
      <c r="D64" s="48" t="s">
        <v>449</v>
      </c>
      <c r="E64" s="8" t="s">
        <v>148</v>
      </c>
      <c r="F64" s="10" t="s">
        <v>148</v>
      </c>
      <c r="G64" s="10" t="s">
        <v>8</v>
      </c>
      <c r="H64" s="30"/>
      <c r="I64" s="30"/>
      <c r="J64" s="30"/>
      <c r="K64" s="30"/>
    </row>
    <row r="65" spans="1:11" ht="21" customHeight="1" x14ac:dyDescent="0.45">
      <c r="A65" s="29" t="s">
        <v>110</v>
      </c>
      <c r="B65" s="6" t="s">
        <v>103</v>
      </c>
      <c r="C65" s="6" t="s">
        <v>53</v>
      </c>
      <c r="D65" s="48" t="s">
        <v>449</v>
      </c>
      <c r="E65" s="8" t="s">
        <v>148</v>
      </c>
      <c r="F65" s="10" t="s">
        <v>148</v>
      </c>
      <c r="G65" s="10" t="s">
        <v>8</v>
      </c>
      <c r="H65" s="30"/>
      <c r="I65" s="30"/>
      <c r="J65" s="30"/>
      <c r="K65" s="30"/>
    </row>
    <row r="66" spans="1:11" ht="21" customHeight="1" x14ac:dyDescent="0.45">
      <c r="A66" s="29" t="s">
        <v>111</v>
      </c>
      <c r="B66" s="6" t="s">
        <v>103</v>
      </c>
      <c r="C66" s="6" t="s">
        <v>53</v>
      </c>
      <c r="D66" s="48" t="s">
        <v>449</v>
      </c>
      <c r="E66" s="8" t="s">
        <v>148</v>
      </c>
      <c r="F66" s="10" t="s">
        <v>148</v>
      </c>
      <c r="G66" s="10" t="s">
        <v>8</v>
      </c>
      <c r="H66" s="30"/>
      <c r="I66" s="30"/>
      <c r="J66" s="30"/>
      <c r="K66" s="30"/>
    </row>
    <row r="67" spans="1:11" ht="21" customHeight="1" x14ac:dyDescent="0.45">
      <c r="A67" s="29" t="s">
        <v>112</v>
      </c>
      <c r="B67" s="6" t="s">
        <v>103</v>
      </c>
      <c r="C67" s="6" t="s">
        <v>53</v>
      </c>
      <c r="D67" s="48" t="s">
        <v>449</v>
      </c>
      <c r="E67" s="8" t="s">
        <v>148</v>
      </c>
      <c r="F67" s="10" t="s">
        <v>148</v>
      </c>
      <c r="G67" s="10" t="s">
        <v>8</v>
      </c>
      <c r="H67" s="30"/>
      <c r="I67" s="30"/>
      <c r="J67" s="30"/>
      <c r="K67" s="30"/>
    </row>
    <row r="68" spans="1:11" ht="21" customHeight="1" x14ac:dyDescent="0.45">
      <c r="A68" s="29" t="s">
        <v>113</v>
      </c>
      <c r="B68" s="6" t="s">
        <v>65</v>
      </c>
      <c r="C68" s="6" t="s">
        <v>65</v>
      </c>
      <c r="D68" s="48" t="s">
        <v>449</v>
      </c>
      <c r="E68" s="8" t="s">
        <v>148</v>
      </c>
      <c r="F68" s="10" t="s">
        <v>148</v>
      </c>
      <c r="G68" s="10" t="s">
        <v>8</v>
      </c>
      <c r="H68" s="30"/>
      <c r="I68" s="30"/>
      <c r="J68" s="30"/>
      <c r="K68" s="30"/>
    </row>
    <row r="69" spans="1:11" ht="21" customHeight="1" x14ac:dyDescent="0.45">
      <c r="A69" s="29" t="s">
        <v>113</v>
      </c>
      <c r="B69" s="6" t="s">
        <v>65</v>
      </c>
      <c r="C69" s="6" t="s">
        <v>65</v>
      </c>
      <c r="D69" s="48" t="s">
        <v>449</v>
      </c>
      <c r="E69" s="8" t="s">
        <v>148</v>
      </c>
      <c r="F69" s="10" t="s">
        <v>148</v>
      </c>
      <c r="G69" s="10" t="s">
        <v>8</v>
      </c>
      <c r="H69" s="30"/>
      <c r="I69" s="30"/>
      <c r="J69" s="30"/>
      <c r="K69" s="30"/>
    </row>
    <row r="70" spans="1:11" ht="21" customHeight="1" x14ac:dyDescent="0.45">
      <c r="A70" s="29" t="s">
        <v>114</v>
      </c>
      <c r="B70" s="6" t="s">
        <v>65</v>
      </c>
      <c r="C70" s="6" t="s">
        <v>65</v>
      </c>
      <c r="D70" s="48" t="s">
        <v>449</v>
      </c>
      <c r="E70" s="8" t="s">
        <v>148</v>
      </c>
      <c r="F70" s="10" t="s">
        <v>148</v>
      </c>
      <c r="G70" s="10" t="s">
        <v>8</v>
      </c>
      <c r="H70" s="30"/>
      <c r="I70" s="30"/>
      <c r="J70" s="30"/>
      <c r="K70" s="30"/>
    </row>
    <row r="71" spans="1:11" ht="21" customHeight="1" x14ac:dyDescent="0.45">
      <c r="A71" s="29" t="s">
        <v>114</v>
      </c>
      <c r="B71" s="6" t="s">
        <v>65</v>
      </c>
      <c r="C71" s="6" t="s">
        <v>65</v>
      </c>
      <c r="D71" s="48" t="s">
        <v>449</v>
      </c>
      <c r="E71" s="8" t="s">
        <v>148</v>
      </c>
      <c r="F71" s="10" t="s">
        <v>148</v>
      </c>
      <c r="G71" s="10" t="s">
        <v>8</v>
      </c>
      <c r="H71" s="30"/>
      <c r="I71" s="30"/>
      <c r="J71" s="30"/>
      <c r="K71" s="30"/>
    </row>
    <row r="72" spans="1:11" ht="21" customHeight="1" x14ac:dyDescent="0.45">
      <c r="A72" s="29" t="s">
        <v>115</v>
      </c>
      <c r="B72" s="6" t="s">
        <v>65</v>
      </c>
      <c r="C72" s="6" t="s">
        <v>65</v>
      </c>
      <c r="D72" s="48" t="s">
        <v>449</v>
      </c>
      <c r="E72" s="8" t="s">
        <v>148</v>
      </c>
      <c r="F72" s="10" t="s">
        <v>148</v>
      </c>
      <c r="G72" s="10" t="s">
        <v>8</v>
      </c>
      <c r="H72" s="30"/>
      <c r="I72" s="30"/>
      <c r="J72" s="30"/>
      <c r="K72" s="30"/>
    </row>
  </sheetData>
  <mergeCells count="4">
    <mergeCell ref="B2:C2"/>
    <mergeCell ref="D2:E2"/>
    <mergeCell ref="I12:J12"/>
    <mergeCell ref="I25:J25"/>
  </mergeCells>
  <pageMargins left="0.7" right="0.7" top="0.78740157499999996" bottom="0.78740157499999996"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1D880-FE36-43AB-8BE2-546ED751CB15}">
  <dimension ref="A1:K26"/>
  <sheetViews>
    <sheetView zoomScale="75" zoomScaleNormal="85" workbookViewId="0">
      <selection activeCell="A4" sqref="A4"/>
    </sheetView>
  </sheetViews>
  <sheetFormatPr baseColWidth="10" defaultRowHeight="14.25" x14ac:dyDescent="0.45"/>
  <cols>
    <col min="1" max="1" width="36.59765625" customWidth="1"/>
    <col min="2" max="2" width="25.265625" customWidth="1"/>
    <col min="3" max="3" width="29.265625" customWidth="1"/>
    <col min="4" max="4" width="32.46484375" customWidth="1"/>
    <col min="5" max="5" width="34.06640625" customWidth="1"/>
    <col min="6" max="6" width="38.59765625" customWidth="1"/>
    <col min="7" max="7" width="12.33203125" customWidth="1"/>
    <col min="9" max="9" width="14.06640625" customWidth="1"/>
    <col min="10" max="10" width="41.33203125" customWidth="1"/>
  </cols>
  <sheetData>
    <row r="1" spans="1:11" ht="54" customHeight="1" x14ac:dyDescent="0.45">
      <c r="A1" s="37" t="s">
        <v>116</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489</v>
      </c>
      <c r="B4" s="6" t="s">
        <v>483</v>
      </c>
      <c r="C4" s="6" t="s">
        <v>482</v>
      </c>
      <c r="D4" s="8" t="s">
        <v>153</v>
      </c>
      <c r="E4" s="8" t="s">
        <v>149</v>
      </c>
      <c r="F4" s="10" t="s">
        <v>149</v>
      </c>
      <c r="G4" s="10" t="s">
        <v>471</v>
      </c>
      <c r="H4" s="30"/>
      <c r="I4" s="10">
        <f>COUNTIF(Tabelle12265397[[#All],[Merged Theme]],Tabelle10951259[[#This Row],[Merged Theme]])</f>
        <v>11</v>
      </c>
      <c r="J4" s="16" t="s">
        <v>150</v>
      </c>
      <c r="K4" s="9"/>
    </row>
    <row r="5" spans="1:11" ht="21" customHeight="1" x14ac:dyDescent="0.45">
      <c r="A5" s="29" t="s">
        <v>490</v>
      </c>
      <c r="B5" s="6" t="s">
        <v>480</v>
      </c>
      <c r="C5" s="6" t="s">
        <v>480</v>
      </c>
      <c r="D5" s="8" t="s">
        <v>154</v>
      </c>
      <c r="E5" s="8" t="s">
        <v>150</v>
      </c>
      <c r="F5" s="10" t="s">
        <v>150</v>
      </c>
      <c r="G5" s="10" t="s">
        <v>471</v>
      </c>
      <c r="H5" s="30"/>
      <c r="I5" s="10">
        <f>COUNTIF(Tabelle12265397[[#All],[Merged Theme]],Tabelle10951259[[#This Row],[Merged Theme]])</f>
        <v>6</v>
      </c>
      <c r="J5" s="16" t="s">
        <v>151</v>
      </c>
      <c r="K5" s="9"/>
    </row>
    <row r="6" spans="1:11" ht="21" customHeight="1" x14ac:dyDescent="0.45">
      <c r="A6" s="29" t="s">
        <v>491</v>
      </c>
      <c r="B6" s="6" t="s">
        <v>484</v>
      </c>
      <c r="C6" s="6" t="s">
        <v>480</v>
      </c>
      <c r="D6" s="8" t="s">
        <v>155</v>
      </c>
      <c r="E6" s="8" t="s">
        <v>150</v>
      </c>
      <c r="F6" s="10" t="s">
        <v>150</v>
      </c>
      <c r="G6" s="10" t="s">
        <v>471</v>
      </c>
      <c r="H6" s="30"/>
      <c r="I6" s="10">
        <f>COUNTIF(Tabelle12265397[[#All],[Merged Theme]],Tabelle10951259[[#This Row],[Merged Theme]])</f>
        <v>3</v>
      </c>
      <c r="J6" s="16" t="s">
        <v>149</v>
      </c>
      <c r="K6" s="9"/>
    </row>
    <row r="7" spans="1:11" ht="21" customHeight="1" x14ac:dyDescent="0.45">
      <c r="A7" s="29" t="s">
        <v>492</v>
      </c>
      <c r="B7" s="6" t="s">
        <v>484</v>
      </c>
      <c r="C7" s="6" t="s">
        <v>480</v>
      </c>
      <c r="D7" s="8" t="s">
        <v>156</v>
      </c>
      <c r="E7" s="8" t="s">
        <v>150</v>
      </c>
      <c r="F7" s="10" t="s">
        <v>150</v>
      </c>
      <c r="G7" s="10" t="s">
        <v>471</v>
      </c>
      <c r="H7" s="30"/>
      <c r="I7" s="10">
        <f>COUNTIF(Tabelle12265397[[#All],[Merged Theme]],Tabelle10951259[[#This Row],[Merged Theme]])</f>
        <v>3</v>
      </c>
      <c r="J7" s="16" t="s">
        <v>459</v>
      </c>
      <c r="K7" s="9"/>
    </row>
    <row r="8" spans="1:11" ht="21" customHeight="1" x14ac:dyDescent="0.45">
      <c r="A8" s="29" t="s">
        <v>493</v>
      </c>
      <c r="B8" s="6" t="s">
        <v>485</v>
      </c>
      <c r="C8" s="6" t="s">
        <v>481</v>
      </c>
      <c r="D8" s="8" t="s">
        <v>157</v>
      </c>
      <c r="E8" s="8" t="s">
        <v>151</v>
      </c>
      <c r="F8" s="10" t="s">
        <v>151</v>
      </c>
      <c r="G8" s="10" t="s">
        <v>471</v>
      </c>
      <c r="H8" s="30"/>
      <c r="I8" s="17">
        <f>SUM(Tabelle10951259[Mentions])</f>
        <v>23</v>
      </c>
      <c r="J8" s="18"/>
      <c r="K8" s="9"/>
    </row>
    <row r="9" spans="1:11" ht="21" customHeight="1" x14ac:dyDescent="0.45">
      <c r="A9" s="29" t="s">
        <v>494</v>
      </c>
      <c r="B9" s="6" t="s">
        <v>484</v>
      </c>
      <c r="C9" s="6" t="s">
        <v>480</v>
      </c>
      <c r="D9" s="8" t="s">
        <v>158</v>
      </c>
      <c r="E9" s="8" t="s">
        <v>150</v>
      </c>
      <c r="F9" s="10" t="s">
        <v>150</v>
      </c>
      <c r="G9" s="10" t="s">
        <v>471</v>
      </c>
      <c r="H9" s="30"/>
      <c r="I9" s="9"/>
      <c r="J9" s="9"/>
      <c r="K9" s="33"/>
    </row>
    <row r="10" spans="1:11" ht="21" customHeight="1" x14ac:dyDescent="0.45">
      <c r="A10" s="29" t="s">
        <v>495</v>
      </c>
      <c r="B10" s="6" t="s">
        <v>486</v>
      </c>
      <c r="C10" s="6" t="s">
        <v>481</v>
      </c>
      <c r="D10" s="8" t="s">
        <v>159</v>
      </c>
      <c r="E10" s="8" t="s">
        <v>149</v>
      </c>
      <c r="F10" s="10" t="s">
        <v>149</v>
      </c>
      <c r="G10" s="10" t="s">
        <v>471</v>
      </c>
      <c r="H10" s="30"/>
      <c r="I10" s="9"/>
      <c r="J10" s="9"/>
      <c r="K10" s="9"/>
    </row>
    <row r="11" spans="1:11" ht="21" customHeight="1" x14ac:dyDescent="0.65">
      <c r="A11" s="29" t="s">
        <v>496</v>
      </c>
      <c r="B11" s="6" t="s">
        <v>486</v>
      </c>
      <c r="C11" s="6" t="s">
        <v>481</v>
      </c>
      <c r="D11" s="8" t="s">
        <v>160</v>
      </c>
      <c r="E11" s="8" t="s">
        <v>149</v>
      </c>
      <c r="F11" s="10" t="s">
        <v>149</v>
      </c>
      <c r="G11" s="10" t="s">
        <v>471</v>
      </c>
      <c r="H11" s="30"/>
      <c r="I11" s="63" t="s">
        <v>451</v>
      </c>
      <c r="J11" s="63"/>
      <c r="K11" s="9"/>
    </row>
    <row r="12" spans="1:11" ht="21" customHeight="1" x14ac:dyDescent="0.65">
      <c r="A12" s="29" t="s">
        <v>497</v>
      </c>
      <c r="B12" s="6" t="s">
        <v>487</v>
      </c>
      <c r="C12" s="6" t="s">
        <v>482</v>
      </c>
      <c r="D12" s="8" t="s">
        <v>161</v>
      </c>
      <c r="E12" s="8" t="s">
        <v>151</v>
      </c>
      <c r="F12" s="10" t="s">
        <v>151</v>
      </c>
      <c r="G12" s="10" t="s">
        <v>471</v>
      </c>
      <c r="H12" s="30"/>
      <c r="I12" s="23" t="s">
        <v>5</v>
      </c>
      <c r="J12" s="22" t="s">
        <v>3</v>
      </c>
      <c r="K12" s="31"/>
    </row>
    <row r="13" spans="1:11" ht="21" customHeight="1" x14ac:dyDescent="0.55000000000000004">
      <c r="A13" s="29" t="s">
        <v>498</v>
      </c>
      <c r="B13" s="6" t="s">
        <v>487</v>
      </c>
      <c r="C13" s="6" t="s">
        <v>480</v>
      </c>
      <c r="D13" s="8" t="s">
        <v>162</v>
      </c>
      <c r="E13" s="8" t="s">
        <v>150</v>
      </c>
      <c r="F13" s="10" t="s">
        <v>150</v>
      </c>
      <c r="G13" s="10" t="s">
        <v>471</v>
      </c>
      <c r="H13" s="30"/>
      <c r="I13" s="6">
        <f>COUNTIF(Tabelle12265397[A - Theme],Tabelle10911152394[[#This Row],[Theme]])</f>
        <v>10</v>
      </c>
      <c r="J13" s="27" t="s">
        <v>482</v>
      </c>
      <c r="K13" s="34"/>
    </row>
    <row r="14" spans="1:11" ht="21" customHeight="1" x14ac:dyDescent="0.45">
      <c r="A14" s="29" t="s">
        <v>499</v>
      </c>
      <c r="B14" s="6" t="s">
        <v>485</v>
      </c>
      <c r="C14" s="6" t="s">
        <v>481</v>
      </c>
      <c r="D14" s="8" t="s">
        <v>157</v>
      </c>
      <c r="E14" s="8" t="s">
        <v>151</v>
      </c>
      <c r="F14" s="10" t="s">
        <v>151</v>
      </c>
      <c r="G14" s="10" t="s">
        <v>471</v>
      </c>
      <c r="H14" s="30"/>
      <c r="I14" s="6">
        <f>COUNTIF(Tabelle12265397[A - Theme],Tabelle10911152394[[#This Row],[Theme]])</f>
        <v>9</v>
      </c>
      <c r="J14" s="27" t="s">
        <v>480</v>
      </c>
      <c r="K14" s="35"/>
    </row>
    <row r="15" spans="1:11" ht="21" customHeight="1" x14ac:dyDescent="0.45">
      <c r="A15" s="29" t="s">
        <v>500</v>
      </c>
      <c r="B15" s="6" t="s">
        <v>487</v>
      </c>
      <c r="C15" s="6" t="s">
        <v>482</v>
      </c>
      <c r="D15" s="8" t="s">
        <v>163</v>
      </c>
      <c r="E15" s="8" t="s">
        <v>150</v>
      </c>
      <c r="F15" s="10" t="s">
        <v>150</v>
      </c>
      <c r="G15" s="10" t="s">
        <v>471</v>
      </c>
      <c r="H15" s="30"/>
      <c r="I15" s="6">
        <f>COUNTIF(Tabelle12265397[A - Theme],Tabelle10911152394[[#This Row],[Theme]])</f>
        <v>4</v>
      </c>
      <c r="J15" s="27" t="s">
        <v>481</v>
      </c>
      <c r="K15" s="35"/>
    </row>
    <row r="16" spans="1:11" ht="21" customHeight="1" x14ac:dyDescent="0.45">
      <c r="A16" s="29" t="s">
        <v>501</v>
      </c>
      <c r="B16" s="6" t="s">
        <v>487</v>
      </c>
      <c r="C16" s="6" t="s">
        <v>482</v>
      </c>
      <c r="D16" s="8" t="s">
        <v>164</v>
      </c>
      <c r="E16" s="8" t="s">
        <v>152</v>
      </c>
      <c r="F16" s="10" t="s">
        <v>459</v>
      </c>
      <c r="G16" s="10" t="s">
        <v>471</v>
      </c>
      <c r="H16" s="30"/>
      <c r="I16" s="20">
        <f>SUM(Tabelle10911152394[Mentions])</f>
        <v>23</v>
      </c>
      <c r="J16" s="21"/>
      <c r="K16" s="35"/>
    </row>
    <row r="17" spans="1:11" ht="21" customHeight="1" x14ac:dyDescent="0.45">
      <c r="A17" s="29" t="s">
        <v>502</v>
      </c>
      <c r="B17" s="6" t="s">
        <v>487</v>
      </c>
      <c r="C17" s="6" t="s">
        <v>482</v>
      </c>
      <c r="D17" s="8" t="s">
        <v>165</v>
      </c>
      <c r="E17" s="8" t="s">
        <v>151</v>
      </c>
      <c r="F17" s="10" t="s">
        <v>151</v>
      </c>
      <c r="G17" s="10" t="s">
        <v>471</v>
      </c>
      <c r="H17" s="30"/>
      <c r="I17" s="30"/>
      <c r="J17" s="30"/>
      <c r="K17" s="35"/>
    </row>
    <row r="18" spans="1:11" ht="21" customHeight="1" x14ac:dyDescent="0.45">
      <c r="A18" s="29" t="s">
        <v>503</v>
      </c>
      <c r="B18" s="6" t="s">
        <v>487</v>
      </c>
      <c r="C18" s="6" t="s">
        <v>482</v>
      </c>
      <c r="D18" s="8" t="s">
        <v>166</v>
      </c>
      <c r="E18" s="8" t="s">
        <v>151</v>
      </c>
      <c r="F18" s="10" t="s">
        <v>151</v>
      </c>
      <c r="G18" s="10" t="s">
        <v>471</v>
      </c>
      <c r="H18" s="30"/>
      <c r="I18" s="30"/>
      <c r="J18" s="30"/>
      <c r="K18" s="35"/>
    </row>
    <row r="19" spans="1:11" ht="21" customHeight="1" x14ac:dyDescent="0.65">
      <c r="A19" s="29" t="s">
        <v>504</v>
      </c>
      <c r="B19" s="6" t="s">
        <v>480</v>
      </c>
      <c r="C19" s="6" t="s">
        <v>480</v>
      </c>
      <c r="D19" s="8" t="s">
        <v>167</v>
      </c>
      <c r="E19" s="8" t="s">
        <v>150</v>
      </c>
      <c r="F19" s="10" t="s">
        <v>150</v>
      </c>
      <c r="G19" s="10" t="s">
        <v>471</v>
      </c>
      <c r="H19" s="30"/>
      <c r="I19" s="64" t="s">
        <v>452</v>
      </c>
      <c r="J19" s="64"/>
      <c r="K19" s="35"/>
    </row>
    <row r="20" spans="1:11" ht="21" customHeight="1" x14ac:dyDescent="0.55000000000000004">
      <c r="A20" s="29" t="s">
        <v>505</v>
      </c>
      <c r="B20" s="6" t="s">
        <v>483</v>
      </c>
      <c r="C20" s="6" t="s">
        <v>482</v>
      </c>
      <c r="D20" s="8" t="s">
        <v>168</v>
      </c>
      <c r="E20" s="8" t="s">
        <v>150</v>
      </c>
      <c r="F20" s="10" t="s">
        <v>150</v>
      </c>
      <c r="G20" s="10" t="s">
        <v>471</v>
      </c>
      <c r="H20" s="30"/>
      <c r="I20" s="19" t="s">
        <v>5</v>
      </c>
      <c r="J20" s="19" t="s">
        <v>3</v>
      </c>
      <c r="K20" s="35"/>
    </row>
    <row r="21" spans="1:11" ht="21" customHeight="1" x14ac:dyDescent="0.45">
      <c r="A21" s="29" t="s">
        <v>506</v>
      </c>
      <c r="B21" s="6" t="s">
        <v>483</v>
      </c>
      <c r="C21" s="6" t="s">
        <v>482</v>
      </c>
      <c r="D21" s="8" t="s">
        <v>169</v>
      </c>
      <c r="E21" s="8" t="s">
        <v>150</v>
      </c>
      <c r="F21" s="10" t="s">
        <v>150</v>
      </c>
      <c r="G21" s="10" t="s">
        <v>471</v>
      </c>
      <c r="H21" s="30"/>
      <c r="I21" s="8">
        <f>COUNTIF(Tabelle12265397[B - Theme],Tabelle10911111258796[[#This Row],[Theme]])</f>
        <v>11</v>
      </c>
      <c r="J21" s="26" t="s">
        <v>150</v>
      </c>
      <c r="K21" s="35"/>
    </row>
    <row r="22" spans="1:11" ht="21" customHeight="1" x14ac:dyDescent="0.45">
      <c r="A22" s="29" t="s">
        <v>507</v>
      </c>
      <c r="B22" s="6" t="s">
        <v>480</v>
      </c>
      <c r="C22" s="6" t="s">
        <v>480</v>
      </c>
      <c r="D22" s="8" t="s">
        <v>170</v>
      </c>
      <c r="E22" s="8" t="s">
        <v>150</v>
      </c>
      <c r="F22" s="10" t="s">
        <v>150</v>
      </c>
      <c r="G22" s="10" t="s">
        <v>471</v>
      </c>
      <c r="H22" s="30"/>
      <c r="I22" s="8">
        <f>COUNTIF(Tabelle12265397[B - Theme],Tabelle10911111258796[[#This Row],[Theme]])</f>
        <v>6</v>
      </c>
      <c r="J22" s="26" t="s">
        <v>151</v>
      </c>
      <c r="K22" s="35"/>
    </row>
    <row r="23" spans="1:11" ht="21" customHeight="1" x14ac:dyDescent="0.45">
      <c r="A23" s="29" t="s">
        <v>508</v>
      </c>
      <c r="B23" s="6" t="s">
        <v>487</v>
      </c>
      <c r="C23" s="6" t="s">
        <v>482</v>
      </c>
      <c r="D23" s="8" t="s">
        <v>171</v>
      </c>
      <c r="E23" s="8" t="s">
        <v>152</v>
      </c>
      <c r="F23" s="10" t="s">
        <v>459</v>
      </c>
      <c r="G23" s="10" t="s">
        <v>471</v>
      </c>
      <c r="H23" s="30"/>
      <c r="I23" s="8">
        <f>COUNTIF(Tabelle12265397[B - Theme],Tabelle10911111258796[[#This Row],[Theme]])</f>
        <v>3</v>
      </c>
      <c r="J23" s="26" t="s">
        <v>149</v>
      </c>
      <c r="K23" s="35"/>
    </row>
    <row r="24" spans="1:11" ht="21" customHeight="1" x14ac:dyDescent="0.45">
      <c r="A24" s="29" t="s">
        <v>509</v>
      </c>
      <c r="B24" s="6" t="s">
        <v>487</v>
      </c>
      <c r="C24" s="6" t="s">
        <v>482</v>
      </c>
      <c r="D24" s="8" t="s">
        <v>172</v>
      </c>
      <c r="E24" s="8" t="s">
        <v>152</v>
      </c>
      <c r="F24" s="10" t="s">
        <v>459</v>
      </c>
      <c r="G24" s="10" t="s">
        <v>471</v>
      </c>
      <c r="H24" s="30"/>
      <c r="I24" s="8">
        <f>COUNTIF(Tabelle12265397[B - Theme],Tabelle10911111258796[[#This Row],[Theme]])</f>
        <v>3</v>
      </c>
      <c r="J24" s="26" t="s">
        <v>152</v>
      </c>
      <c r="K24" s="33"/>
    </row>
    <row r="25" spans="1:11" ht="21" customHeight="1" x14ac:dyDescent="0.45">
      <c r="A25" s="29" t="s">
        <v>584</v>
      </c>
      <c r="B25" s="6" t="s">
        <v>488</v>
      </c>
      <c r="C25" s="6" t="s">
        <v>480</v>
      </c>
      <c r="D25" s="8" t="s">
        <v>173</v>
      </c>
      <c r="E25" s="8" t="s">
        <v>151</v>
      </c>
      <c r="F25" s="10" t="s">
        <v>151</v>
      </c>
      <c r="G25" s="10" t="s">
        <v>470</v>
      </c>
      <c r="H25" s="30"/>
      <c r="I25" s="24">
        <f>SUM(Tabelle10911111258796[Mentions])</f>
        <v>23</v>
      </c>
      <c r="J25" s="25"/>
      <c r="K25" s="30"/>
    </row>
    <row r="26" spans="1:11" ht="21" customHeight="1" x14ac:dyDescent="0.45">
      <c r="A26" s="29" t="s">
        <v>510</v>
      </c>
      <c r="B26" s="6" t="s">
        <v>484</v>
      </c>
      <c r="C26" s="6" t="s">
        <v>480</v>
      </c>
      <c r="D26" s="8" t="s">
        <v>174</v>
      </c>
      <c r="E26" s="8" t="s">
        <v>150</v>
      </c>
      <c r="F26" s="10" t="s">
        <v>150</v>
      </c>
      <c r="G26" s="10" t="s">
        <v>471</v>
      </c>
      <c r="H26" s="30"/>
      <c r="I26" s="30"/>
      <c r="J26" s="30"/>
      <c r="K26" s="30"/>
    </row>
  </sheetData>
  <mergeCells count="4">
    <mergeCell ref="B2:C2"/>
    <mergeCell ref="D2:E2"/>
    <mergeCell ref="I11:J11"/>
    <mergeCell ref="I19:J19"/>
  </mergeCells>
  <pageMargins left="0.7" right="0.7" top="0.78740157499999996" bottom="0.78740157499999996"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990E8-FBEF-4F9D-B7C9-E2DC2F38BE91}">
  <dimension ref="A1:K77"/>
  <sheetViews>
    <sheetView zoomScale="71" zoomScaleNormal="85" workbookViewId="0">
      <selection activeCell="A4" sqref="A4"/>
    </sheetView>
  </sheetViews>
  <sheetFormatPr baseColWidth="10" defaultRowHeight="14.25" x14ac:dyDescent="0.45"/>
  <cols>
    <col min="1" max="1" width="36.59765625" customWidth="1"/>
    <col min="2" max="2" width="25.265625" customWidth="1"/>
    <col min="3" max="3" width="30.796875" customWidth="1"/>
    <col min="4" max="4" width="20.53125" customWidth="1"/>
    <col min="5" max="5" width="27.59765625" customWidth="1"/>
    <col min="6" max="6" width="42" customWidth="1"/>
    <col min="7" max="7" width="12.33203125" customWidth="1"/>
    <col min="9" max="9" width="14.06640625" customWidth="1"/>
    <col min="10" max="10" width="43.796875" customWidth="1"/>
  </cols>
  <sheetData>
    <row r="1" spans="1:11" ht="54" customHeight="1" x14ac:dyDescent="0.45">
      <c r="A1" s="37" t="s">
        <v>619</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511</v>
      </c>
      <c r="B4" s="6" t="s">
        <v>175</v>
      </c>
      <c r="C4" s="6" t="s">
        <v>587</v>
      </c>
      <c r="D4" s="8" t="s">
        <v>175</v>
      </c>
      <c r="E4" s="8" t="s">
        <v>176</v>
      </c>
      <c r="F4" s="10" t="s">
        <v>176</v>
      </c>
      <c r="G4" s="10" t="s">
        <v>470</v>
      </c>
      <c r="H4" s="30"/>
      <c r="I4" s="10">
        <f>COUNTIF(Tabelle12265397112[[#All],[Merged Theme]],Tabelle10951259109[[#This Row],[Merged Theme]])</f>
        <v>18</v>
      </c>
      <c r="J4" s="16" t="s">
        <v>596</v>
      </c>
      <c r="K4" s="9"/>
    </row>
    <row r="5" spans="1:11" ht="21" customHeight="1" x14ac:dyDescent="0.45">
      <c r="A5" s="29" t="s">
        <v>512</v>
      </c>
      <c r="B5" s="6" t="s">
        <v>189</v>
      </c>
      <c r="C5" s="6" t="s">
        <v>588</v>
      </c>
      <c r="D5" s="8" t="s">
        <v>177</v>
      </c>
      <c r="E5" s="8" t="s">
        <v>176</v>
      </c>
      <c r="F5" s="10" t="s">
        <v>176</v>
      </c>
      <c r="G5" s="10" t="s">
        <v>470</v>
      </c>
      <c r="H5" s="30"/>
      <c r="I5" s="10">
        <f>COUNTIF(Tabelle12265397112[[#All],[Merged Theme]],Tabelle10951259109[[#This Row],[Merged Theme]])</f>
        <v>17</v>
      </c>
      <c r="J5" s="16" t="s">
        <v>450</v>
      </c>
      <c r="K5" s="9"/>
    </row>
    <row r="6" spans="1:11" ht="21" customHeight="1" x14ac:dyDescent="0.45">
      <c r="A6" s="29" t="s">
        <v>582</v>
      </c>
      <c r="B6" s="6" t="s">
        <v>460</v>
      </c>
      <c r="C6" s="6" t="s">
        <v>589</v>
      </c>
      <c r="D6" s="8" t="s">
        <v>178</v>
      </c>
      <c r="E6" s="8" t="s">
        <v>179</v>
      </c>
      <c r="F6" s="10" t="s">
        <v>450</v>
      </c>
      <c r="G6" s="10" t="s">
        <v>470</v>
      </c>
      <c r="H6" s="30"/>
      <c r="I6" s="10">
        <f>COUNTIF(Tabelle12265397112[[#All],[Merged Theme]],Tabelle10951259109[[#This Row],[Merged Theme]])</f>
        <v>14</v>
      </c>
      <c r="J6" s="16" t="s">
        <v>176</v>
      </c>
      <c r="K6" s="9"/>
    </row>
    <row r="7" spans="1:11" ht="21" customHeight="1" x14ac:dyDescent="0.45">
      <c r="A7" s="29" t="s">
        <v>513</v>
      </c>
      <c r="B7" s="6" t="s">
        <v>593</v>
      </c>
      <c r="C7" s="6" t="s">
        <v>587</v>
      </c>
      <c r="D7" s="8" t="s">
        <v>180</v>
      </c>
      <c r="E7" s="8" t="s">
        <v>181</v>
      </c>
      <c r="F7" s="10" t="s">
        <v>181</v>
      </c>
      <c r="G7" s="10" t="s">
        <v>470</v>
      </c>
      <c r="H7" s="30"/>
      <c r="I7" s="10">
        <f>COUNTIF(Tabelle12265397112[[#All],[Merged Theme]],Tabelle10951259109[[#This Row],[Merged Theme]])</f>
        <v>13</v>
      </c>
      <c r="J7" s="16" t="s">
        <v>181</v>
      </c>
      <c r="K7" s="9"/>
    </row>
    <row r="8" spans="1:11" ht="21" customHeight="1" x14ac:dyDescent="0.45">
      <c r="A8" s="29" t="s">
        <v>514</v>
      </c>
      <c r="B8" s="6" t="s">
        <v>175</v>
      </c>
      <c r="C8" s="6" t="s">
        <v>587</v>
      </c>
      <c r="D8" s="8" t="s">
        <v>182</v>
      </c>
      <c r="E8" s="8" t="s">
        <v>183</v>
      </c>
      <c r="F8" s="10" t="s">
        <v>596</v>
      </c>
      <c r="G8" s="10" t="s">
        <v>470</v>
      </c>
      <c r="H8" s="30"/>
      <c r="I8" s="10">
        <f>COUNTIF(Tabelle12265397112[[#All],[Merged Theme]],Tabelle10951259109[[#This Row],[Merged Theme]])</f>
        <v>12</v>
      </c>
      <c r="J8" s="16" t="s">
        <v>185</v>
      </c>
      <c r="K8" s="9"/>
    </row>
    <row r="9" spans="1:11" ht="21" customHeight="1" x14ac:dyDescent="0.45">
      <c r="A9" s="29" t="s">
        <v>515</v>
      </c>
      <c r="B9" s="6" t="s">
        <v>189</v>
      </c>
      <c r="C9" s="6" t="s">
        <v>588</v>
      </c>
      <c r="D9" s="8" t="s">
        <v>177</v>
      </c>
      <c r="E9" s="8" t="s">
        <v>176</v>
      </c>
      <c r="F9" s="10" t="s">
        <v>176</v>
      </c>
      <c r="G9" s="10" t="s">
        <v>470</v>
      </c>
      <c r="H9" s="30"/>
      <c r="I9" s="17">
        <f>SUM(Tabelle10951259109[Mentions])</f>
        <v>74</v>
      </c>
      <c r="J9" s="18"/>
      <c r="K9" s="33"/>
    </row>
    <row r="10" spans="1:11" ht="21" customHeight="1" x14ac:dyDescent="0.45">
      <c r="A10" s="29" t="s">
        <v>516</v>
      </c>
      <c r="B10" s="6" t="s">
        <v>175</v>
      </c>
      <c r="C10" s="6" t="s">
        <v>587</v>
      </c>
      <c r="D10" s="8" t="s">
        <v>180</v>
      </c>
      <c r="E10" s="8" t="s">
        <v>181</v>
      </c>
      <c r="F10" s="10" t="s">
        <v>181</v>
      </c>
      <c r="G10" s="10" t="s">
        <v>8</v>
      </c>
      <c r="H10" s="30"/>
      <c r="I10" s="9"/>
      <c r="J10" s="9"/>
      <c r="K10" s="9"/>
    </row>
    <row r="11" spans="1:11" ht="21" customHeight="1" x14ac:dyDescent="0.45">
      <c r="A11" s="29" t="s">
        <v>517</v>
      </c>
      <c r="B11" s="6" t="s">
        <v>593</v>
      </c>
      <c r="C11" s="6" t="s">
        <v>587</v>
      </c>
      <c r="D11" s="8" t="s">
        <v>184</v>
      </c>
      <c r="E11" s="8" t="s">
        <v>185</v>
      </c>
      <c r="F11" s="10" t="s">
        <v>181</v>
      </c>
      <c r="G11" s="10" t="s">
        <v>470</v>
      </c>
      <c r="H11" s="30"/>
      <c r="I11" s="9"/>
      <c r="J11" s="9"/>
      <c r="K11" s="9"/>
    </row>
    <row r="12" spans="1:11" ht="21" customHeight="1" x14ac:dyDescent="0.65">
      <c r="A12" s="29" t="s">
        <v>518</v>
      </c>
      <c r="B12" s="6" t="s">
        <v>175</v>
      </c>
      <c r="C12" s="6" t="s">
        <v>587</v>
      </c>
      <c r="D12" s="8" t="s">
        <v>184</v>
      </c>
      <c r="E12" s="8" t="s">
        <v>185</v>
      </c>
      <c r="F12" s="10" t="s">
        <v>176</v>
      </c>
      <c r="G12" s="10" t="s">
        <v>470</v>
      </c>
      <c r="H12" s="30"/>
      <c r="I12" s="63" t="s">
        <v>451</v>
      </c>
      <c r="J12" s="63"/>
      <c r="K12" s="31"/>
    </row>
    <row r="13" spans="1:11" ht="21" customHeight="1" x14ac:dyDescent="0.55000000000000004">
      <c r="A13" s="29" t="s">
        <v>519</v>
      </c>
      <c r="B13" s="6" t="s">
        <v>186</v>
      </c>
      <c r="C13" s="6" t="s">
        <v>590</v>
      </c>
      <c r="D13" s="8" t="s">
        <v>186</v>
      </c>
      <c r="E13" s="8" t="s">
        <v>186</v>
      </c>
      <c r="F13" s="10" t="s">
        <v>450</v>
      </c>
      <c r="G13" s="10" t="s">
        <v>470</v>
      </c>
      <c r="H13" s="30"/>
      <c r="I13" s="23" t="s">
        <v>5</v>
      </c>
      <c r="J13" s="22" t="s">
        <v>3</v>
      </c>
      <c r="K13" s="34"/>
    </row>
    <row r="14" spans="1:11" ht="21" customHeight="1" x14ac:dyDescent="0.45">
      <c r="A14" s="29" t="s">
        <v>520</v>
      </c>
      <c r="B14" s="6" t="s">
        <v>591</v>
      </c>
      <c r="C14" s="6" t="s">
        <v>591</v>
      </c>
      <c r="D14" s="8" t="s">
        <v>187</v>
      </c>
      <c r="E14" s="8" t="s">
        <v>183</v>
      </c>
      <c r="F14" s="10" t="s">
        <v>596</v>
      </c>
      <c r="G14" s="10" t="s">
        <v>470</v>
      </c>
      <c r="H14" s="30"/>
      <c r="I14" s="6">
        <f>COUNTIF(Tabelle12265397112[A - Theme],Tabelle10911152394110[[#This Row],[Theme]])</f>
        <v>33</v>
      </c>
      <c r="J14" s="27" t="s">
        <v>587</v>
      </c>
      <c r="K14" s="35"/>
    </row>
    <row r="15" spans="1:11" ht="21" customHeight="1" x14ac:dyDescent="0.45">
      <c r="A15" s="29" t="s">
        <v>521</v>
      </c>
      <c r="B15" s="6" t="s">
        <v>186</v>
      </c>
      <c r="C15" s="6" t="s">
        <v>590</v>
      </c>
      <c r="D15" s="8" t="s">
        <v>186</v>
      </c>
      <c r="E15" s="8" t="s">
        <v>186</v>
      </c>
      <c r="F15" s="10" t="s">
        <v>450</v>
      </c>
      <c r="G15" s="10" t="s">
        <v>470</v>
      </c>
      <c r="H15" s="30"/>
      <c r="I15" s="6">
        <f>COUNTIF(Tabelle12265397112[A - Theme],Tabelle10911152394110[[#This Row],[Theme]])</f>
        <v>14</v>
      </c>
      <c r="J15" s="27" t="s">
        <v>590</v>
      </c>
      <c r="K15" s="35"/>
    </row>
    <row r="16" spans="1:11" ht="21" customHeight="1" x14ac:dyDescent="0.45">
      <c r="A16" s="29" t="s">
        <v>522</v>
      </c>
      <c r="B16" s="6" t="s">
        <v>594</v>
      </c>
      <c r="C16" s="6" t="s">
        <v>590</v>
      </c>
      <c r="D16" s="8" t="s">
        <v>188</v>
      </c>
      <c r="E16" s="8" t="s">
        <v>179</v>
      </c>
      <c r="F16" s="10" t="s">
        <v>450</v>
      </c>
      <c r="G16" s="10" t="s">
        <v>470</v>
      </c>
      <c r="H16" s="30"/>
      <c r="I16" s="6">
        <f>COUNTIF(Tabelle12265397112[A - Theme],Tabelle10911152394110[[#This Row],[Theme]])</f>
        <v>13</v>
      </c>
      <c r="J16" s="27" t="s">
        <v>588</v>
      </c>
      <c r="K16" s="35"/>
    </row>
    <row r="17" spans="1:11" ht="21" customHeight="1" x14ac:dyDescent="0.45">
      <c r="A17" s="29" t="s">
        <v>523</v>
      </c>
      <c r="B17" s="6" t="s">
        <v>189</v>
      </c>
      <c r="C17" s="6" t="s">
        <v>588</v>
      </c>
      <c r="D17" s="8" t="s">
        <v>189</v>
      </c>
      <c r="E17" s="8" t="s">
        <v>176</v>
      </c>
      <c r="F17" s="10" t="s">
        <v>596</v>
      </c>
      <c r="G17" s="10" t="s">
        <v>470</v>
      </c>
      <c r="H17" s="30"/>
      <c r="I17" s="6">
        <f>COUNTIF(Tabelle12265397112[A - Theme],Tabelle10911152394110[[#This Row],[Theme]])</f>
        <v>6</v>
      </c>
      <c r="J17" s="27" t="s">
        <v>591</v>
      </c>
      <c r="K17" s="35"/>
    </row>
    <row r="18" spans="1:11" ht="21" customHeight="1" x14ac:dyDescent="0.45">
      <c r="A18" s="29" t="s">
        <v>524</v>
      </c>
      <c r="B18" s="6" t="s">
        <v>593</v>
      </c>
      <c r="C18" s="6" t="s">
        <v>587</v>
      </c>
      <c r="D18" s="8" t="s">
        <v>190</v>
      </c>
      <c r="E18" s="8" t="s">
        <v>181</v>
      </c>
      <c r="F18" s="10" t="s">
        <v>181</v>
      </c>
      <c r="G18" s="10" t="s">
        <v>470</v>
      </c>
      <c r="H18" s="30"/>
      <c r="I18" s="6">
        <f>COUNTIF(Tabelle12265397112[A - Theme],Tabelle10911152394110[[#This Row],[Theme]])</f>
        <v>4</v>
      </c>
      <c r="J18" s="27" t="s">
        <v>589</v>
      </c>
      <c r="K18" s="35"/>
    </row>
    <row r="19" spans="1:11" ht="21" customHeight="1" x14ac:dyDescent="0.45">
      <c r="A19" s="29" t="s">
        <v>525</v>
      </c>
      <c r="B19" s="6" t="s">
        <v>585</v>
      </c>
      <c r="C19" s="6" t="s">
        <v>588</v>
      </c>
      <c r="D19" s="8" t="s">
        <v>191</v>
      </c>
      <c r="E19" s="8" t="s">
        <v>192</v>
      </c>
      <c r="F19" s="10" t="s">
        <v>596</v>
      </c>
      <c r="G19" s="10" t="s">
        <v>8</v>
      </c>
      <c r="H19" s="30"/>
      <c r="I19" s="6">
        <f>COUNTIF(Tabelle12265397112[A - Theme],Tabelle10911152394110[[#This Row],[Theme]])</f>
        <v>4</v>
      </c>
      <c r="J19" s="27" t="s">
        <v>592</v>
      </c>
      <c r="K19" s="35"/>
    </row>
    <row r="20" spans="1:11" ht="21" customHeight="1" x14ac:dyDescent="0.45">
      <c r="A20" s="29" t="s">
        <v>526</v>
      </c>
      <c r="B20" s="6" t="s">
        <v>591</v>
      </c>
      <c r="C20" s="6" t="s">
        <v>591</v>
      </c>
      <c r="D20" s="8" t="s">
        <v>187</v>
      </c>
      <c r="E20" s="8" t="s">
        <v>183</v>
      </c>
      <c r="F20" s="10" t="s">
        <v>596</v>
      </c>
      <c r="G20" s="10" t="s">
        <v>471</v>
      </c>
      <c r="H20" s="30"/>
      <c r="I20" s="20">
        <f>SUM(Tabelle10911152394110[Mentions])</f>
        <v>74</v>
      </c>
      <c r="J20" s="21"/>
      <c r="K20" s="35"/>
    </row>
    <row r="21" spans="1:11" ht="21" customHeight="1" x14ac:dyDescent="0.45">
      <c r="A21" s="29" t="s">
        <v>527</v>
      </c>
      <c r="B21" s="6" t="s">
        <v>593</v>
      </c>
      <c r="C21" s="6" t="s">
        <v>587</v>
      </c>
      <c r="D21" s="8" t="s">
        <v>180</v>
      </c>
      <c r="E21" s="8" t="s">
        <v>181</v>
      </c>
      <c r="F21" s="10" t="s">
        <v>181</v>
      </c>
      <c r="G21" s="10" t="s">
        <v>471</v>
      </c>
      <c r="H21" s="30"/>
      <c r="I21" s="30"/>
      <c r="J21" s="30"/>
      <c r="K21" s="35"/>
    </row>
    <row r="22" spans="1:11" ht="21" customHeight="1" x14ac:dyDescent="0.45">
      <c r="A22" s="29" t="s">
        <v>528</v>
      </c>
      <c r="B22" s="6" t="s">
        <v>593</v>
      </c>
      <c r="C22" s="6" t="s">
        <v>591</v>
      </c>
      <c r="D22" s="8" t="s">
        <v>187</v>
      </c>
      <c r="E22" s="8" t="s">
        <v>183</v>
      </c>
      <c r="F22" s="10" t="s">
        <v>596</v>
      </c>
      <c r="G22" s="10" t="s">
        <v>471</v>
      </c>
      <c r="H22" s="30"/>
      <c r="I22" s="30"/>
      <c r="J22" s="30"/>
      <c r="K22" s="35"/>
    </row>
    <row r="23" spans="1:11" ht="21" customHeight="1" x14ac:dyDescent="0.65">
      <c r="A23" s="29" t="s">
        <v>529</v>
      </c>
      <c r="B23" s="6" t="s">
        <v>595</v>
      </c>
      <c r="C23" s="6" t="s">
        <v>591</v>
      </c>
      <c r="D23" s="8" t="s">
        <v>180</v>
      </c>
      <c r="E23" s="8" t="s">
        <v>181</v>
      </c>
      <c r="F23" s="10" t="s">
        <v>181</v>
      </c>
      <c r="G23" s="10" t="s">
        <v>471</v>
      </c>
      <c r="H23" s="30"/>
      <c r="I23" s="64" t="s">
        <v>452</v>
      </c>
      <c r="J23" s="64"/>
      <c r="K23" s="35"/>
    </row>
    <row r="24" spans="1:11" ht="21" customHeight="1" x14ac:dyDescent="0.55000000000000004">
      <c r="A24" s="29" t="s">
        <v>530</v>
      </c>
      <c r="B24" s="6" t="s">
        <v>175</v>
      </c>
      <c r="C24" s="6" t="s">
        <v>587</v>
      </c>
      <c r="D24" s="8" t="s">
        <v>189</v>
      </c>
      <c r="E24" s="8" t="s">
        <v>176</v>
      </c>
      <c r="F24" s="10" t="s">
        <v>176</v>
      </c>
      <c r="G24" s="10" t="s">
        <v>470</v>
      </c>
      <c r="H24" s="30"/>
      <c r="I24" s="19" t="s">
        <v>5</v>
      </c>
      <c r="J24" s="19" t="s">
        <v>3</v>
      </c>
      <c r="K24" s="33"/>
    </row>
    <row r="25" spans="1:11" ht="21" customHeight="1" x14ac:dyDescent="0.45">
      <c r="A25" s="29" t="s">
        <v>531</v>
      </c>
      <c r="B25" s="6" t="s">
        <v>594</v>
      </c>
      <c r="C25" s="6" t="s">
        <v>590</v>
      </c>
      <c r="D25" s="8" t="s">
        <v>188</v>
      </c>
      <c r="E25" s="8" t="s">
        <v>179</v>
      </c>
      <c r="F25" s="10" t="s">
        <v>450</v>
      </c>
      <c r="G25" s="10" t="s">
        <v>470</v>
      </c>
      <c r="H25" s="30"/>
      <c r="I25" s="8">
        <f>COUNTIF(Tabelle12265397112[B - Theme],Tabelle10911111258796111[[#This Row],[Theme]])</f>
        <v>14</v>
      </c>
      <c r="J25" s="26" t="s">
        <v>176</v>
      </c>
      <c r="K25" s="30"/>
    </row>
    <row r="26" spans="1:11" ht="21" customHeight="1" x14ac:dyDescent="0.45">
      <c r="A26" s="29" t="s">
        <v>532</v>
      </c>
      <c r="B26" s="6" t="s">
        <v>175</v>
      </c>
      <c r="C26" s="6" t="s">
        <v>587</v>
      </c>
      <c r="D26" s="8" t="s">
        <v>184</v>
      </c>
      <c r="E26" s="8" t="s">
        <v>185</v>
      </c>
      <c r="F26" s="10" t="s">
        <v>185</v>
      </c>
      <c r="G26" s="10" t="s">
        <v>470</v>
      </c>
      <c r="H26" s="30"/>
      <c r="I26" s="8">
        <f>COUNTIF(Tabelle12265397112[B - Theme],Tabelle10911111258796111[[#This Row],[Theme]])</f>
        <v>14</v>
      </c>
      <c r="J26" s="26" t="s">
        <v>185</v>
      </c>
      <c r="K26" s="30"/>
    </row>
    <row r="27" spans="1:11" ht="21" customHeight="1" x14ac:dyDescent="0.65">
      <c r="A27" s="29" t="s">
        <v>533</v>
      </c>
      <c r="B27" s="6" t="s">
        <v>593</v>
      </c>
      <c r="C27" s="6" t="s">
        <v>587</v>
      </c>
      <c r="D27" s="8" t="s">
        <v>180</v>
      </c>
      <c r="E27" s="8" t="s">
        <v>181</v>
      </c>
      <c r="F27" s="10" t="s">
        <v>181</v>
      </c>
      <c r="G27" s="10" t="s">
        <v>470</v>
      </c>
      <c r="H27" s="30"/>
      <c r="I27" s="8">
        <f>COUNTIF(Tabelle12265397112[B - Theme],Tabelle10911111258796111[[#This Row],[Theme]])</f>
        <v>12</v>
      </c>
      <c r="J27" s="26" t="s">
        <v>181</v>
      </c>
      <c r="K27" s="31"/>
    </row>
    <row r="28" spans="1:11" ht="21" customHeight="1" x14ac:dyDescent="0.45">
      <c r="A28" s="29" t="s">
        <v>534</v>
      </c>
      <c r="B28" s="6" t="s">
        <v>593</v>
      </c>
      <c r="C28" s="6" t="s">
        <v>587</v>
      </c>
      <c r="D28" s="8" t="s">
        <v>184</v>
      </c>
      <c r="E28" s="8" t="s">
        <v>185</v>
      </c>
      <c r="F28" s="10" t="s">
        <v>185</v>
      </c>
      <c r="G28" s="10" t="s">
        <v>470</v>
      </c>
      <c r="H28" s="30"/>
      <c r="I28" s="8">
        <f>COUNTIF(Tabelle12265397112[B - Theme],Tabelle10911111258796111[[#This Row],[Theme]])</f>
        <v>11</v>
      </c>
      <c r="J28" s="26" t="s">
        <v>183</v>
      </c>
      <c r="K28" s="30"/>
    </row>
    <row r="29" spans="1:11" ht="21" customHeight="1" x14ac:dyDescent="0.45">
      <c r="A29" s="29" t="s">
        <v>535</v>
      </c>
      <c r="B29" s="6" t="s">
        <v>189</v>
      </c>
      <c r="C29" s="6" t="s">
        <v>588</v>
      </c>
      <c r="D29" s="8" t="s">
        <v>189</v>
      </c>
      <c r="E29" s="8" t="s">
        <v>176</v>
      </c>
      <c r="F29" s="10" t="s">
        <v>176</v>
      </c>
      <c r="G29" s="10" t="s">
        <v>470</v>
      </c>
      <c r="H29" s="30"/>
      <c r="I29" s="8">
        <f>COUNTIF(Tabelle12265397112[B - Theme],Tabelle10911111258796111[[#This Row],[Theme]])</f>
        <v>9</v>
      </c>
      <c r="J29" s="26" t="s">
        <v>186</v>
      </c>
      <c r="K29" s="30"/>
    </row>
    <row r="30" spans="1:11" ht="21" customHeight="1" x14ac:dyDescent="0.45">
      <c r="A30" s="29" t="s">
        <v>536</v>
      </c>
      <c r="B30" s="6" t="s">
        <v>186</v>
      </c>
      <c r="C30" s="6" t="s">
        <v>590</v>
      </c>
      <c r="D30" s="8" t="s">
        <v>186</v>
      </c>
      <c r="E30" s="8" t="s">
        <v>186</v>
      </c>
      <c r="F30" s="10" t="s">
        <v>450</v>
      </c>
      <c r="G30" s="10" t="s">
        <v>470</v>
      </c>
      <c r="H30" s="30"/>
      <c r="I30" s="8">
        <f>COUNTIF(Tabelle12265397112[B - Theme],Tabelle10911111258796111[[#This Row],[Theme]])</f>
        <v>8</v>
      </c>
      <c r="J30" s="26" t="s">
        <v>179</v>
      </c>
      <c r="K30" s="30"/>
    </row>
    <row r="31" spans="1:11" ht="21" customHeight="1" x14ac:dyDescent="0.45">
      <c r="A31" s="29" t="s">
        <v>537</v>
      </c>
      <c r="B31" s="6" t="s">
        <v>594</v>
      </c>
      <c r="C31" s="6" t="s">
        <v>590</v>
      </c>
      <c r="D31" s="8" t="s">
        <v>188</v>
      </c>
      <c r="E31" s="8" t="s">
        <v>179</v>
      </c>
      <c r="F31" s="10" t="s">
        <v>450</v>
      </c>
      <c r="G31" s="10" t="s">
        <v>470</v>
      </c>
      <c r="H31" s="30"/>
      <c r="I31" s="8">
        <f>COUNTIF(Tabelle12265397112[B - Theme],Tabelle10911111258796111[[#This Row],[Theme]])</f>
        <v>6</v>
      </c>
      <c r="J31" s="26" t="s">
        <v>192</v>
      </c>
      <c r="K31" s="30"/>
    </row>
    <row r="32" spans="1:11" ht="21" customHeight="1" x14ac:dyDescent="0.45">
      <c r="A32" s="29" t="s">
        <v>538</v>
      </c>
      <c r="B32" s="6" t="s">
        <v>186</v>
      </c>
      <c r="C32" s="6" t="s">
        <v>590</v>
      </c>
      <c r="D32" s="8" t="s">
        <v>186</v>
      </c>
      <c r="E32" s="8" t="s">
        <v>186</v>
      </c>
      <c r="F32" s="10" t="s">
        <v>450</v>
      </c>
      <c r="G32" s="10" t="s">
        <v>470</v>
      </c>
      <c r="H32" s="30"/>
      <c r="I32" s="24">
        <f>SUM(Tabelle10911111258796111[Mentions])</f>
        <v>74</v>
      </c>
      <c r="J32" s="25"/>
      <c r="K32" s="30"/>
    </row>
    <row r="33" spans="1:11" ht="21" customHeight="1" x14ac:dyDescent="0.45">
      <c r="A33" s="29" t="s">
        <v>539</v>
      </c>
      <c r="B33" s="6" t="s">
        <v>593</v>
      </c>
      <c r="C33" s="6" t="s">
        <v>587</v>
      </c>
      <c r="D33" s="8" t="s">
        <v>184</v>
      </c>
      <c r="E33" s="8" t="s">
        <v>185</v>
      </c>
      <c r="F33" s="10" t="s">
        <v>185</v>
      </c>
      <c r="G33" s="10" t="s">
        <v>470</v>
      </c>
      <c r="H33" s="30"/>
      <c r="I33" s="30"/>
      <c r="J33" s="30"/>
      <c r="K33" s="30"/>
    </row>
    <row r="34" spans="1:11" ht="21" customHeight="1" x14ac:dyDescent="0.45">
      <c r="A34" s="29" t="s">
        <v>540</v>
      </c>
      <c r="B34" s="6" t="s">
        <v>175</v>
      </c>
      <c r="C34" s="6" t="s">
        <v>587</v>
      </c>
      <c r="D34" s="8" t="s">
        <v>190</v>
      </c>
      <c r="E34" s="8" t="s">
        <v>181</v>
      </c>
      <c r="F34" s="10" t="s">
        <v>181</v>
      </c>
      <c r="G34" s="10" t="s">
        <v>470</v>
      </c>
      <c r="H34" s="30"/>
      <c r="I34" s="30"/>
      <c r="J34" s="30"/>
      <c r="K34" s="30"/>
    </row>
    <row r="35" spans="1:11" ht="21" customHeight="1" x14ac:dyDescent="0.45">
      <c r="A35" s="29" t="s">
        <v>541</v>
      </c>
      <c r="B35" s="6" t="s">
        <v>586</v>
      </c>
      <c r="C35" s="6" t="s">
        <v>592</v>
      </c>
      <c r="D35" s="8" t="s">
        <v>182</v>
      </c>
      <c r="E35" s="8" t="s">
        <v>183</v>
      </c>
      <c r="F35" s="10" t="s">
        <v>596</v>
      </c>
      <c r="G35" s="10" t="s">
        <v>470</v>
      </c>
      <c r="H35" s="30"/>
      <c r="I35" s="30"/>
      <c r="J35" s="30"/>
      <c r="K35" s="30"/>
    </row>
    <row r="36" spans="1:11" ht="21" customHeight="1" x14ac:dyDescent="0.45">
      <c r="A36" s="29" t="s">
        <v>542</v>
      </c>
      <c r="B36" s="6" t="s">
        <v>593</v>
      </c>
      <c r="C36" s="6" t="s">
        <v>587</v>
      </c>
      <c r="D36" s="8" t="s">
        <v>180</v>
      </c>
      <c r="E36" s="8" t="s">
        <v>181</v>
      </c>
      <c r="F36" s="10" t="s">
        <v>181</v>
      </c>
      <c r="G36" s="10" t="s">
        <v>470</v>
      </c>
      <c r="H36" s="30"/>
      <c r="I36" s="30"/>
      <c r="J36" s="30"/>
      <c r="K36" s="30"/>
    </row>
    <row r="37" spans="1:11" ht="21" customHeight="1" x14ac:dyDescent="0.45">
      <c r="A37" s="29" t="s">
        <v>543</v>
      </c>
      <c r="B37" s="6" t="s">
        <v>586</v>
      </c>
      <c r="C37" s="6" t="s">
        <v>592</v>
      </c>
      <c r="D37" s="8" t="s">
        <v>182</v>
      </c>
      <c r="E37" s="8" t="s">
        <v>183</v>
      </c>
      <c r="F37" s="10" t="s">
        <v>596</v>
      </c>
      <c r="G37" s="10" t="s">
        <v>470</v>
      </c>
      <c r="H37" s="30"/>
      <c r="I37" s="30"/>
      <c r="J37" s="30"/>
      <c r="K37" s="30"/>
    </row>
    <row r="38" spans="1:11" ht="21" customHeight="1" x14ac:dyDescent="0.45">
      <c r="A38" s="29" t="s">
        <v>544</v>
      </c>
      <c r="B38" s="6" t="s">
        <v>175</v>
      </c>
      <c r="C38" s="6" t="s">
        <v>587</v>
      </c>
      <c r="D38" s="8" t="s">
        <v>190</v>
      </c>
      <c r="E38" s="8" t="s">
        <v>181</v>
      </c>
      <c r="F38" s="10" t="s">
        <v>181</v>
      </c>
      <c r="G38" s="10" t="s">
        <v>470</v>
      </c>
      <c r="H38" s="30"/>
      <c r="I38" s="30"/>
      <c r="J38" s="30"/>
      <c r="K38" s="30"/>
    </row>
    <row r="39" spans="1:11" ht="21" customHeight="1" x14ac:dyDescent="0.45">
      <c r="A39" s="29" t="s">
        <v>545</v>
      </c>
      <c r="B39" s="6" t="s">
        <v>460</v>
      </c>
      <c r="C39" s="6" t="s">
        <v>589</v>
      </c>
      <c r="D39" s="8" t="s">
        <v>178</v>
      </c>
      <c r="E39" s="8" t="s">
        <v>179</v>
      </c>
      <c r="F39" s="10" t="s">
        <v>450</v>
      </c>
      <c r="G39" s="10" t="s">
        <v>470</v>
      </c>
      <c r="H39" s="30"/>
      <c r="I39" s="30"/>
      <c r="J39" s="30"/>
      <c r="K39" s="30"/>
    </row>
    <row r="40" spans="1:11" ht="21" customHeight="1" x14ac:dyDescent="0.45">
      <c r="A40" s="29" t="s">
        <v>546</v>
      </c>
      <c r="B40" s="6" t="s">
        <v>117</v>
      </c>
      <c r="C40" s="6" t="s">
        <v>589</v>
      </c>
      <c r="D40" s="8" t="s">
        <v>188</v>
      </c>
      <c r="E40" s="8" t="s">
        <v>179</v>
      </c>
      <c r="F40" s="10" t="s">
        <v>450</v>
      </c>
      <c r="G40" s="10" t="s">
        <v>470</v>
      </c>
      <c r="H40" s="30"/>
      <c r="I40" s="30"/>
      <c r="J40" s="30"/>
      <c r="K40" s="30"/>
    </row>
    <row r="41" spans="1:11" ht="21" customHeight="1" x14ac:dyDescent="0.45">
      <c r="A41" s="29" t="s">
        <v>547</v>
      </c>
      <c r="B41" s="6" t="s">
        <v>586</v>
      </c>
      <c r="C41" s="6" t="s">
        <v>592</v>
      </c>
      <c r="D41" s="8" t="s">
        <v>182</v>
      </c>
      <c r="E41" s="8" t="s">
        <v>183</v>
      </c>
      <c r="F41" s="10" t="s">
        <v>596</v>
      </c>
      <c r="G41" s="10" t="s">
        <v>470</v>
      </c>
      <c r="H41" s="30"/>
      <c r="I41" s="30"/>
      <c r="J41" s="30"/>
      <c r="K41" s="30"/>
    </row>
    <row r="42" spans="1:11" ht="21" customHeight="1" x14ac:dyDescent="0.45">
      <c r="A42" s="29" t="s">
        <v>548</v>
      </c>
      <c r="B42" s="6" t="s">
        <v>175</v>
      </c>
      <c r="C42" s="6" t="s">
        <v>587</v>
      </c>
      <c r="D42" s="8" t="s">
        <v>175</v>
      </c>
      <c r="E42" s="8" t="s">
        <v>176</v>
      </c>
      <c r="F42" s="10" t="s">
        <v>176</v>
      </c>
      <c r="G42" s="10" t="s">
        <v>470</v>
      </c>
      <c r="H42" s="30"/>
      <c r="I42" s="30"/>
      <c r="J42" s="30"/>
      <c r="K42" s="30"/>
    </row>
    <row r="43" spans="1:11" ht="21" customHeight="1" x14ac:dyDescent="0.45">
      <c r="A43" s="29" t="s">
        <v>549</v>
      </c>
      <c r="B43" s="6" t="s">
        <v>186</v>
      </c>
      <c r="C43" s="6" t="s">
        <v>590</v>
      </c>
      <c r="D43" s="8" t="s">
        <v>186</v>
      </c>
      <c r="E43" s="8" t="s">
        <v>186</v>
      </c>
      <c r="F43" s="10" t="s">
        <v>450</v>
      </c>
      <c r="G43" s="10" t="s">
        <v>470</v>
      </c>
      <c r="H43" s="30"/>
      <c r="I43" s="30"/>
      <c r="J43" s="30"/>
      <c r="K43" s="30"/>
    </row>
    <row r="44" spans="1:11" ht="21" customHeight="1" x14ac:dyDescent="0.45">
      <c r="A44" s="29" t="s">
        <v>550</v>
      </c>
      <c r="B44" s="6" t="s">
        <v>586</v>
      </c>
      <c r="C44" s="6" t="s">
        <v>592</v>
      </c>
      <c r="D44" s="8" t="s">
        <v>182</v>
      </c>
      <c r="E44" s="8" t="s">
        <v>183</v>
      </c>
      <c r="F44" s="10" t="s">
        <v>596</v>
      </c>
      <c r="G44" s="10" t="s">
        <v>470</v>
      </c>
      <c r="H44" s="30"/>
      <c r="I44" s="30"/>
      <c r="J44" s="30"/>
      <c r="K44" s="30"/>
    </row>
    <row r="45" spans="1:11" ht="21" customHeight="1" x14ac:dyDescent="0.45">
      <c r="A45" s="29" t="s">
        <v>551</v>
      </c>
      <c r="B45" s="6" t="s">
        <v>593</v>
      </c>
      <c r="C45" s="6" t="s">
        <v>587</v>
      </c>
      <c r="D45" s="8" t="s">
        <v>184</v>
      </c>
      <c r="E45" s="8" t="s">
        <v>185</v>
      </c>
      <c r="F45" s="10" t="s">
        <v>185</v>
      </c>
      <c r="G45" s="10" t="s">
        <v>8</v>
      </c>
      <c r="H45" s="30"/>
      <c r="I45" s="30"/>
      <c r="J45" s="30"/>
      <c r="K45" s="30"/>
    </row>
    <row r="46" spans="1:11" ht="21" customHeight="1" x14ac:dyDescent="0.45">
      <c r="A46" s="29" t="s">
        <v>552</v>
      </c>
      <c r="B46" s="6" t="s">
        <v>189</v>
      </c>
      <c r="C46" s="6" t="s">
        <v>588</v>
      </c>
      <c r="D46" s="8" t="s">
        <v>193</v>
      </c>
      <c r="E46" s="8" t="s">
        <v>192</v>
      </c>
      <c r="F46" s="10" t="s">
        <v>596</v>
      </c>
      <c r="G46" s="10" t="s">
        <v>470</v>
      </c>
      <c r="H46" s="30"/>
      <c r="I46" s="30"/>
      <c r="J46" s="30"/>
      <c r="K46" s="30"/>
    </row>
    <row r="47" spans="1:11" ht="21" customHeight="1" x14ac:dyDescent="0.45">
      <c r="A47" s="29" t="s">
        <v>553</v>
      </c>
      <c r="B47" s="6" t="s">
        <v>189</v>
      </c>
      <c r="C47" s="6" t="s">
        <v>588</v>
      </c>
      <c r="D47" s="8" t="s">
        <v>177</v>
      </c>
      <c r="E47" s="8" t="s">
        <v>176</v>
      </c>
      <c r="F47" s="10" t="s">
        <v>176</v>
      </c>
      <c r="G47" s="10" t="s">
        <v>470</v>
      </c>
      <c r="H47" s="30"/>
      <c r="I47" s="30"/>
      <c r="J47" s="30"/>
      <c r="K47" s="30"/>
    </row>
    <row r="48" spans="1:11" ht="21" customHeight="1" x14ac:dyDescent="0.45">
      <c r="A48" s="29" t="s">
        <v>554</v>
      </c>
      <c r="B48" s="6" t="s">
        <v>186</v>
      </c>
      <c r="C48" s="6" t="s">
        <v>590</v>
      </c>
      <c r="D48" s="8" t="s">
        <v>186</v>
      </c>
      <c r="E48" s="8" t="s">
        <v>186</v>
      </c>
      <c r="F48" s="10" t="s">
        <v>450</v>
      </c>
      <c r="G48" s="10" t="s">
        <v>470</v>
      </c>
      <c r="H48" s="30"/>
      <c r="I48" s="30"/>
      <c r="J48" s="30"/>
      <c r="K48" s="30"/>
    </row>
    <row r="49" spans="1:11" ht="21" customHeight="1" x14ac:dyDescent="0.45">
      <c r="A49" s="29" t="s">
        <v>555</v>
      </c>
      <c r="B49" s="6" t="s">
        <v>175</v>
      </c>
      <c r="C49" s="6" t="s">
        <v>587</v>
      </c>
      <c r="D49" s="8" t="s">
        <v>184</v>
      </c>
      <c r="E49" s="8" t="s">
        <v>185</v>
      </c>
      <c r="F49" s="10" t="s">
        <v>185</v>
      </c>
      <c r="G49" s="10" t="s">
        <v>470</v>
      </c>
      <c r="H49" s="30"/>
      <c r="I49" s="30"/>
      <c r="J49" s="30"/>
      <c r="K49" s="30"/>
    </row>
    <row r="50" spans="1:11" ht="21" customHeight="1" x14ac:dyDescent="0.45">
      <c r="A50" s="29" t="s">
        <v>556</v>
      </c>
      <c r="B50" s="6" t="s">
        <v>593</v>
      </c>
      <c r="C50" s="6" t="s">
        <v>587</v>
      </c>
      <c r="D50" s="8" t="s">
        <v>190</v>
      </c>
      <c r="E50" s="8" t="s">
        <v>181</v>
      </c>
      <c r="F50" s="10" t="s">
        <v>181</v>
      </c>
      <c r="G50" s="10" t="s">
        <v>470</v>
      </c>
      <c r="H50" s="30"/>
      <c r="I50" s="30"/>
      <c r="J50" s="30"/>
      <c r="K50" s="30"/>
    </row>
    <row r="51" spans="1:11" ht="21" customHeight="1" x14ac:dyDescent="0.45">
      <c r="A51" s="29" t="s">
        <v>557</v>
      </c>
      <c r="B51" s="6" t="s">
        <v>175</v>
      </c>
      <c r="C51" s="6" t="s">
        <v>587</v>
      </c>
      <c r="D51" s="8" t="s">
        <v>190</v>
      </c>
      <c r="E51" s="8" t="s">
        <v>181</v>
      </c>
      <c r="F51" s="10" t="s">
        <v>181</v>
      </c>
      <c r="G51" s="10" t="s">
        <v>470</v>
      </c>
      <c r="H51" s="30"/>
      <c r="I51" s="30"/>
      <c r="J51" s="30"/>
      <c r="K51" s="30"/>
    </row>
    <row r="52" spans="1:11" ht="21" customHeight="1" x14ac:dyDescent="0.45">
      <c r="A52" s="29" t="s">
        <v>558</v>
      </c>
      <c r="B52" s="6" t="s">
        <v>593</v>
      </c>
      <c r="C52" s="6" t="s">
        <v>587</v>
      </c>
      <c r="D52" s="8" t="s">
        <v>184</v>
      </c>
      <c r="E52" s="8" t="s">
        <v>185</v>
      </c>
      <c r="F52" s="10" t="s">
        <v>185</v>
      </c>
      <c r="G52" s="10" t="s">
        <v>470</v>
      </c>
      <c r="H52" s="30"/>
      <c r="I52" s="30"/>
      <c r="J52" s="30"/>
      <c r="K52" s="30"/>
    </row>
    <row r="53" spans="1:11" ht="21" customHeight="1" x14ac:dyDescent="0.45">
      <c r="A53" s="29" t="s">
        <v>236</v>
      </c>
      <c r="B53" s="6" t="s">
        <v>186</v>
      </c>
      <c r="C53" s="6" t="s">
        <v>590</v>
      </c>
      <c r="D53" s="8" t="s">
        <v>186</v>
      </c>
      <c r="E53" s="8" t="s">
        <v>186</v>
      </c>
      <c r="F53" s="10" t="s">
        <v>450</v>
      </c>
      <c r="G53" s="10" t="s">
        <v>470</v>
      </c>
      <c r="H53" s="30"/>
      <c r="I53" s="30"/>
      <c r="J53" s="30"/>
      <c r="K53" s="30"/>
    </row>
    <row r="54" spans="1:11" ht="21" customHeight="1" x14ac:dyDescent="0.45">
      <c r="A54" s="29" t="s">
        <v>559</v>
      </c>
      <c r="B54" s="6" t="s">
        <v>175</v>
      </c>
      <c r="C54" s="6" t="s">
        <v>587</v>
      </c>
      <c r="D54" s="8" t="s">
        <v>175</v>
      </c>
      <c r="E54" s="8" t="s">
        <v>176</v>
      </c>
      <c r="F54" s="10" t="s">
        <v>176</v>
      </c>
      <c r="G54" s="10" t="s">
        <v>470</v>
      </c>
      <c r="H54" s="30"/>
      <c r="I54" s="30"/>
      <c r="J54" s="30"/>
      <c r="K54" s="30"/>
    </row>
    <row r="55" spans="1:11" ht="21" customHeight="1" x14ac:dyDescent="0.45">
      <c r="A55" s="29" t="s">
        <v>560</v>
      </c>
      <c r="B55" s="6" t="s">
        <v>175</v>
      </c>
      <c r="C55" s="6" t="s">
        <v>587</v>
      </c>
      <c r="D55" s="8" t="s">
        <v>184</v>
      </c>
      <c r="E55" s="8" t="s">
        <v>185</v>
      </c>
      <c r="F55" s="10" t="s">
        <v>185</v>
      </c>
      <c r="G55" s="10" t="s">
        <v>470</v>
      </c>
      <c r="H55" s="30"/>
      <c r="I55" s="30"/>
      <c r="J55" s="30"/>
      <c r="K55" s="30"/>
    </row>
    <row r="56" spans="1:11" ht="21" customHeight="1" x14ac:dyDescent="0.45">
      <c r="A56" s="29" t="s">
        <v>561</v>
      </c>
      <c r="B56" s="6" t="s">
        <v>175</v>
      </c>
      <c r="C56" s="6" t="s">
        <v>587</v>
      </c>
      <c r="D56" s="8" t="s">
        <v>175</v>
      </c>
      <c r="E56" s="8" t="s">
        <v>176</v>
      </c>
      <c r="F56" s="10" t="s">
        <v>176</v>
      </c>
      <c r="G56" s="10" t="s">
        <v>470</v>
      </c>
      <c r="H56" s="30"/>
      <c r="I56" s="30"/>
      <c r="J56" s="30"/>
      <c r="K56" s="30"/>
    </row>
    <row r="57" spans="1:11" ht="21" customHeight="1" x14ac:dyDescent="0.45">
      <c r="A57" s="29" t="s">
        <v>562</v>
      </c>
      <c r="B57" s="6" t="s">
        <v>189</v>
      </c>
      <c r="C57" s="6" t="s">
        <v>588</v>
      </c>
      <c r="D57" s="8" t="s">
        <v>189</v>
      </c>
      <c r="E57" s="8" t="s">
        <v>176</v>
      </c>
      <c r="F57" s="10" t="s">
        <v>176</v>
      </c>
      <c r="G57" s="10" t="s">
        <v>470</v>
      </c>
      <c r="H57" s="30"/>
      <c r="I57" s="30"/>
      <c r="J57" s="30"/>
      <c r="K57" s="30"/>
    </row>
    <row r="58" spans="1:11" ht="21" customHeight="1" x14ac:dyDescent="0.45">
      <c r="A58" s="29" t="s">
        <v>563</v>
      </c>
      <c r="B58" s="6" t="s">
        <v>189</v>
      </c>
      <c r="C58" s="6" t="s">
        <v>588</v>
      </c>
      <c r="D58" s="8" t="s">
        <v>193</v>
      </c>
      <c r="E58" s="8" t="s">
        <v>192</v>
      </c>
      <c r="F58" s="10" t="s">
        <v>596</v>
      </c>
      <c r="G58" s="10" t="s">
        <v>470</v>
      </c>
      <c r="H58" s="30"/>
      <c r="I58" s="30"/>
      <c r="J58" s="30"/>
      <c r="K58" s="30"/>
    </row>
    <row r="59" spans="1:11" ht="21" customHeight="1" x14ac:dyDescent="0.45">
      <c r="A59" s="29" t="s">
        <v>564</v>
      </c>
      <c r="B59" s="6" t="s">
        <v>175</v>
      </c>
      <c r="C59" s="6" t="s">
        <v>587</v>
      </c>
      <c r="D59" s="8" t="s">
        <v>193</v>
      </c>
      <c r="E59" s="8" t="s">
        <v>192</v>
      </c>
      <c r="F59" s="10" t="s">
        <v>596</v>
      </c>
      <c r="G59" s="10" t="s">
        <v>470</v>
      </c>
      <c r="H59" s="30"/>
      <c r="I59" s="30"/>
      <c r="J59" s="30"/>
      <c r="K59" s="30"/>
    </row>
    <row r="60" spans="1:11" ht="21" customHeight="1" x14ac:dyDescent="0.45">
      <c r="A60" s="29" t="s">
        <v>565</v>
      </c>
      <c r="B60" s="6" t="s">
        <v>189</v>
      </c>
      <c r="C60" s="6" t="s">
        <v>588</v>
      </c>
      <c r="D60" s="8" t="s">
        <v>193</v>
      </c>
      <c r="E60" s="8" t="s">
        <v>192</v>
      </c>
      <c r="F60" s="10" t="s">
        <v>596</v>
      </c>
      <c r="G60" s="10" t="s">
        <v>470</v>
      </c>
      <c r="H60" s="30"/>
      <c r="I60" s="30"/>
      <c r="J60" s="30"/>
      <c r="K60" s="30"/>
    </row>
    <row r="61" spans="1:11" ht="21" customHeight="1" x14ac:dyDescent="0.45">
      <c r="A61" s="29" t="s">
        <v>566</v>
      </c>
      <c r="B61" s="6" t="s">
        <v>186</v>
      </c>
      <c r="C61" s="6" t="s">
        <v>590</v>
      </c>
      <c r="D61" s="8" t="s">
        <v>186</v>
      </c>
      <c r="E61" s="8" t="s">
        <v>186</v>
      </c>
      <c r="F61" s="10" t="s">
        <v>450</v>
      </c>
      <c r="G61" s="10" t="s">
        <v>470</v>
      </c>
      <c r="H61" s="30"/>
      <c r="I61" s="30"/>
      <c r="J61" s="30"/>
      <c r="K61" s="30"/>
    </row>
    <row r="62" spans="1:11" ht="21" customHeight="1" x14ac:dyDescent="0.45">
      <c r="A62" s="29" t="s">
        <v>567</v>
      </c>
      <c r="B62" s="6" t="s">
        <v>460</v>
      </c>
      <c r="C62" s="6" t="s">
        <v>589</v>
      </c>
      <c r="D62" s="8" t="s">
        <v>178</v>
      </c>
      <c r="E62" s="8" t="s">
        <v>179</v>
      </c>
      <c r="F62" s="10" t="s">
        <v>450</v>
      </c>
      <c r="G62" s="10" t="s">
        <v>470</v>
      </c>
      <c r="H62" s="30"/>
      <c r="I62" s="30"/>
      <c r="J62" s="30"/>
      <c r="K62" s="30"/>
    </row>
    <row r="63" spans="1:11" ht="21" customHeight="1" x14ac:dyDescent="0.45">
      <c r="A63" s="29" t="s">
        <v>568</v>
      </c>
      <c r="B63" s="6" t="s">
        <v>591</v>
      </c>
      <c r="C63" s="6" t="s">
        <v>591</v>
      </c>
      <c r="D63" s="8" t="s">
        <v>187</v>
      </c>
      <c r="E63" s="8" t="s">
        <v>183</v>
      </c>
      <c r="F63" s="10" t="s">
        <v>596</v>
      </c>
      <c r="G63" s="10" t="s">
        <v>471</v>
      </c>
      <c r="H63" s="30"/>
      <c r="I63" s="30"/>
      <c r="J63" s="30"/>
      <c r="K63" s="30"/>
    </row>
    <row r="64" spans="1:11" ht="21" customHeight="1" x14ac:dyDescent="0.45">
      <c r="A64" s="29" t="s">
        <v>569</v>
      </c>
      <c r="B64" s="6" t="s">
        <v>175</v>
      </c>
      <c r="C64" s="6" t="s">
        <v>587</v>
      </c>
      <c r="D64" s="8" t="s">
        <v>184</v>
      </c>
      <c r="E64" s="8" t="s">
        <v>185</v>
      </c>
      <c r="F64" s="10" t="s">
        <v>185</v>
      </c>
      <c r="G64" s="10" t="s">
        <v>470</v>
      </c>
      <c r="H64" s="30"/>
      <c r="I64" s="30"/>
      <c r="J64" s="30"/>
      <c r="K64" s="30"/>
    </row>
    <row r="65" spans="1:11" ht="21" customHeight="1" x14ac:dyDescent="0.45">
      <c r="A65" s="29" t="s">
        <v>570</v>
      </c>
      <c r="B65" s="6" t="s">
        <v>175</v>
      </c>
      <c r="C65" s="6" t="s">
        <v>587</v>
      </c>
      <c r="D65" s="8" t="s">
        <v>180</v>
      </c>
      <c r="E65" s="8" t="s">
        <v>181</v>
      </c>
      <c r="F65" s="10" t="s">
        <v>181</v>
      </c>
      <c r="G65" s="10" t="s">
        <v>470</v>
      </c>
      <c r="H65" s="30"/>
      <c r="I65" s="30"/>
      <c r="J65" s="30"/>
      <c r="K65" s="30"/>
    </row>
    <row r="66" spans="1:11" ht="21" customHeight="1" x14ac:dyDescent="0.45">
      <c r="A66" s="29" t="s">
        <v>571</v>
      </c>
      <c r="B66" s="6" t="s">
        <v>175</v>
      </c>
      <c r="C66" s="6" t="s">
        <v>587</v>
      </c>
      <c r="D66" s="8" t="s">
        <v>188</v>
      </c>
      <c r="E66" s="8" t="s">
        <v>179</v>
      </c>
      <c r="F66" s="10" t="s">
        <v>450</v>
      </c>
      <c r="G66" s="10" t="s">
        <v>470</v>
      </c>
      <c r="H66" s="30"/>
      <c r="I66" s="30"/>
      <c r="J66" s="30"/>
      <c r="K66" s="30"/>
    </row>
    <row r="67" spans="1:11" ht="21" customHeight="1" x14ac:dyDescent="0.45">
      <c r="A67" s="29" t="s">
        <v>572</v>
      </c>
      <c r="B67" s="6" t="s">
        <v>186</v>
      </c>
      <c r="C67" s="6" t="s">
        <v>590</v>
      </c>
      <c r="D67" s="8" t="s">
        <v>186</v>
      </c>
      <c r="E67" s="8" t="s">
        <v>186</v>
      </c>
      <c r="F67" s="10" t="s">
        <v>450</v>
      </c>
      <c r="G67" s="10" t="s">
        <v>470</v>
      </c>
      <c r="H67" s="30"/>
      <c r="I67" s="30"/>
      <c r="J67" s="30"/>
      <c r="K67" s="30"/>
    </row>
    <row r="68" spans="1:11" ht="21" customHeight="1" x14ac:dyDescent="0.45">
      <c r="A68" s="29" t="s">
        <v>573</v>
      </c>
      <c r="B68" s="6" t="s">
        <v>189</v>
      </c>
      <c r="C68" s="6" t="s">
        <v>588</v>
      </c>
      <c r="D68" s="8" t="s">
        <v>189</v>
      </c>
      <c r="E68" s="8" t="s">
        <v>176</v>
      </c>
      <c r="F68" s="10" t="s">
        <v>176</v>
      </c>
      <c r="G68" s="10" t="s">
        <v>470</v>
      </c>
      <c r="H68" s="30"/>
      <c r="I68" s="30"/>
      <c r="J68" s="30"/>
      <c r="K68" s="30"/>
    </row>
    <row r="69" spans="1:11" ht="21" customHeight="1" x14ac:dyDescent="0.45">
      <c r="A69" s="29" t="s">
        <v>574</v>
      </c>
      <c r="B69" s="6" t="s">
        <v>186</v>
      </c>
      <c r="C69" s="6" t="s">
        <v>590</v>
      </c>
      <c r="D69" s="8" t="s">
        <v>194</v>
      </c>
      <c r="E69" s="8" t="s">
        <v>192</v>
      </c>
      <c r="F69" s="10" t="s">
        <v>596</v>
      </c>
      <c r="G69" s="10" t="s">
        <v>470</v>
      </c>
      <c r="H69" s="30"/>
      <c r="I69" s="30"/>
      <c r="J69" s="30"/>
      <c r="K69" s="30"/>
    </row>
    <row r="70" spans="1:11" ht="21" customHeight="1" x14ac:dyDescent="0.45">
      <c r="A70" s="29" t="s">
        <v>575</v>
      </c>
      <c r="B70" s="6" t="s">
        <v>591</v>
      </c>
      <c r="C70" s="6" t="s">
        <v>591</v>
      </c>
      <c r="D70" s="8" t="s">
        <v>182</v>
      </c>
      <c r="E70" s="8" t="s">
        <v>183</v>
      </c>
      <c r="F70" s="10" t="s">
        <v>596</v>
      </c>
      <c r="G70" s="10" t="s">
        <v>470</v>
      </c>
      <c r="H70" s="30"/>
      <c r="I70" s="30"/>
      <c r="J70" s="30"/>
      <c r="K70" s="30"/>
    </row>
    <row r="71" spans="1:11" ht="21" customHeight="1" x14ac:dyDescent="0.45">
      <c r="A71" s="29" t="s">
        <v>576</v>
      </c>
      <c r="B71" s="6" t="s">
        <v>175</v>
      </c>
      <c r="C71" s="6" t="s">
        <v>587</v>
      </c>
      <c r="D71" s="8" t="s">
        <v>184</v>
      </c>
      <c r="E71" s="8" t="s">
        <v>185</v>
      </c>
      <c r="F71" s="10" t="s">
        <v>185</v>
      </c>
      <c r="G71" s="10" t="s">
        <v>470</v>
      </c>
      <c r="H71" s="30"/>
      <c r="I71" s="30"/>
      <c r="J71" s="30"/>
      <c r="K71" s="30"/>
    </row>
    <row r="72" spans="1:11" ht="21" customHeight="1" x14ac:dyDescent="0.45">
      <c r="A72" s="29" t="s">
        <v>577</v>
      </c>
      <c r="B72" s="6" t="s">
        <v>175</v>
      </c>
      <c r="C72" s="6" t="s">
        <v>587</v>
      </c>
      <c r="D72" s="8" t="s">
        <v>175</v>
      </c>
      <c r="E72" s="8" t="s">
        <v>176</v>
      </c>
      <c r="F72" s="10" t="s">
        <v>176</v>
      </c>
      <c r="G72" s="10" t="s">
        <v>470</v>
      </c>
      <c r="H72" s="30"/>
      <c r="I72" s="30"/>
      <c r="J72" s="30"/>
      <c r="K72" s="30"/>
    </row>
    <row r="73" spans="1:11" ht="21" customHeight="1" x14ac:dyDescent="0.45">
      <c r="A73" s="29" t="s">
        <v>578</v>
      </c>
      <c r="B73" s="6" t="s">
        <v>594</v>
      </c>
      <c r="C73" s="6" t="s">
        <v>590</v>
      </c>
      <c r="D73" s="8" t="s">
        <v>182</v>
      </c>
      <c r="E73" s="8" t="s">
        <v>183</v>
      </c>
      <c r="F73" s="10" t="s">
        <v>596</v>
      </c>
      <c r="G73" s="10" t="s">
        <v>470</v>
      </c>
      <c r="H73" s="30"/>
      <c r="I73" s="30"/>
      <c r="J73" s="30"/>
      <c r="K73" s="30"/>
    </row>
    <row r="74" spans="1:11" ht="21" customHeight="1" x14ac:dyDescent="0.45">
      <c r="A74" s="29" t="s">
        <v>579</v>
      </c>
      <c r="B74" s="6" t="s">
        <v>175</v>
      </c>
      <c r="C74" s="6" t="s">
        <v>587</v>
      </c>
      <c r="D74" s="8" t="s">
        <v>184</v>
      </c>
      <c r="E74" s="8" t="s">
        <v>185</v>
      </c>
      <c r="F74" s="10" t="s">
        <v>185</v>
      </c>
      <c r="G74" s="10" t="s">
        <v>470</v>
      </c>
      <c r="H74" s="30"/>
      <c r="I74" s="30"/>
      <c r="J74" s="30"/>
      <c r="K74" s="30"/>
    </row>
    <row r="75" spans="1:11" ht="21" customHeight="1" x14ac:dyDescent="0.45">
      <c r="A75" s="29" t="s">
        <v>583</v>
      </c>
      <c r="B75" s="6" t="s">
        <v>189</v>
      </c>
      <c r="C75" s="6" t="s">
        <v>588</v>
      </c>
      <c r="D75" s="8" t="s">
        <v>195</v>
      </c>
      <c r="E75" s="8" t="s">
        <v>185</v>
      </c>
      <c r="F75" s="10" t="s">
        <v>185</v>
      </c>
      <c r="G75" s="10" t="s">
        <v>470</v>
      </c>
      <c r="H75" s="30"/>
      <c r="I75" s="30"/>
      <c r="J75" s="30"/>
      <c r="K75" s="30"/>
    </row>
    <row r="76" spans="1:11" ht="21" customHeight="1" x14ac:dyDescent="0.45">
      <c r="A76" s="29" t="s">
        <v>580</v>
      </c>
      <c r="B76" s="6" t="s">
        <v>175</v>
      </c>
      <c r="C76" s="6" t="s">
        <v>587</v>
      </c>
      <c r="D76" s="8" t="s">
        <v>184</v>
      </c>
      <c r="E76" s="8" t="s">
        <v>185</v>
      </c>
      <c r="F76" s="10" t="s">
        <v>185</v>
      </c>
      <c r="G76" s="10" t="s">
        <v>470</v>
      </c>
      <c r="H76" s="30"/>
      <c r="I76" s="30"/>
      <c r="J76" s="30"/>
      <c r="K76" s="30"/>
    </row>
    <row r="77" spans="1:11" ht="21" customHeight="1" x14ac:dyDescent="0.45">
      <c r="A77" s="29" t="s">
        <v>581</v>
      </c>
      <c r="B77" s="6" t="s">
        <v>189</v>
      </c>
      <c r="C77" s="6" t="s">
        <v>588</v>
      </c>
      <c r="D77" s="8" t="s">
        <v>175</v>
      </c>
      <c r="E77" s="8" t="s">
        <v>176</v>
      </c>
      <c r="F77" s="10" t="s">
        <v>176</v>
      </c>
      <c r="G77" s="10" t="s">
        <v>470</v>
      </c>
      <c r="H77" s="30"/>
      <c r="I77" s="30"/>
      <c r="J77" s="30"/>
      <c r="K77" s="30"/>
    </row>
  </sheetData>
  <mergeCells count="4">
    <mergeCell ref="B2:C2"/>
    <mergeCell ref="D2:E2"/>
    <mergeCell ref="I12:J12"/>
    <mergeCell ref="I23:J23"/>
  </mergeCells>
  <pageMargins left="0.7" right="0.7" top="0.78740157499999996" bottom="0.78740157499999996"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B7C5A-B449-4877-B20A-39240C6C6969}">
  <dimension ref="A1:K26"/>
  <sheetViews>
    <sheetView zoomScale="78" zoomScaleNormal="85" workbookViewId="0">
      <selection activeCell="A4" sqref="A4"/>
    </sheetView>
  </sheetViews>
  <sheetFormatPr baseColWidth="10" defaultRowHeight="14.25" x14ac:dyDescent="0.45"/>
  <cols>
    <col min="1" max="1" width="36.59765625" customWidth="1"/>
    <col min="2" max="2" width="25.265625" customWidth="1"/>
    <col min="3" max="3" width="30.796875" customWidth="1"/>
    <col min="4" max="4" width="20.53125" customWidth="1"/>
    <col min="5" max="5" width="27.59765625" customWidth="1"/>
    <col min="6" max="6" width="26.9296875" customWidth="1"/>
    <col min="7" max="7" width="12.796875" customWidth="1"/>
    <col min="9" max="9" width="14.06640625" customWidth="1"/>
    <col min="10" max="10" width="41.33203125" customWidth="1"/>
  </cols>
  <sheetData>
    <row r="1" spans="1:11" ht="54" customHeight="1" x14ac:dyDescent="0.45">
      <c r="A1" s="37" t="s">
        <v>620</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597</v>
      </c>
      <c r="B4" s="6" t="s">
        <v>460</v>
      </c>
      <c r="C4" s="6" t="s">
        <v>460</v>
      </c>
      <c r="D4" s="8" t="s">
        <v>196</v>
      </c>
      <c r="E4" s="8" t="s">
        <v>197</v>
      </c>
      <c r="F4" s="10" t="s">
        <v>460</v>
      </c>
      <c r="G4" s="10" t="s">
        <v>470</v>
      </c>
      <c r="H4" s="30"/>
      <c r="I4" s="10">
        <f>COUNTIF(Tabelle12265397112116[[#All],[Merged Theme]],Tabelle10951259109113[[#This Row],[Merged Theme]])</f>
        <v>7</v>
      </c>
      <c r="J4" s="16" t="s">
        <v>460</v>
      </c>
      <c r="K4" s="9"/>
    </row>
    <row r="5" spans="1:11" ht="21" customHeight="1" x14ac:dyDescent="0.45">
      <c r="A5" s="29" t="s">
        <v>598</v>
      </c>
      <c r="B5" s="6" t="s">
        <v>616</v>
      </c>
      <c r="C5" s="6" t="s">
        <v>616</v>
      </c>
      <c r="D5" s="8" t="s">
        <v>616</v>
      </c>
      <c r="E5" s="8" t="s">
        <v>618</v>
      </c>
      <c r="F5" s="10" t="s">
        <v>616</v>
      </c>
      <c r="G5" s="10" t="s">
        <v>470</v>
      </c>
      <c r="H5" s="30"/>
      <c r="I5" s="10">
        <f>COUNTIF(Tabelle12265397112116[[#All],[Merged Theme]],Tabelle10951259109113[[#This Row],[Merged Theme]])</f>
        <v>6</v>
      </c>
      <c r="J5" s="16" t="s">
        <v>462</v>
      </c>
      <c r="K5" s="9"/>
    </row>
    <row r="6" spans="1:11" ht="21" customHeight="1" x14ac:dyDescent="0.45">
      <c r="A6" s="29" t="s">
        <v>599</v>
      </c>
      <c r="B6" s="6" t="s">
        <v>461</v>
      </c>
      <c r="C6" s="6" t="s">
        <v>461</v>
      </c>
      <c r="D6" s="8" t="s">
        <v>198</v>
      </c>
      <c r="E6" s="8" t="s">
        <v>199</v>
      </c>
      <c r="F6" s="10" t="s">
        <v>461</v>
      </c>
      <c r="G6" s="10" t="s">
        <v>471</v>
      </c>
      <c r="H6" s="30"/>
      <c r="I6" s="10">
        <f>COUNTIF(Tabelle12265397112116[[#All],[Merged Theme]],Tabelle10951259109113[[#This Row],[Merged Theme]])</f>
        <v>4</v>
      </c>
      <c r="J6" s="16" t="s">
        <v>461</v>
      </c>
      <c r="K6" s="9"/>
    </row>
    <row r="7" spans="1:11" ht="21" customHeight="1" x14ac:dyDescent="0.45">
      <c r="A7" s="29" t="s">
        <v>600</v>
      </c>
      <c r="B7" s="6" t="s">
        <v>189</v>
      </c>
      <c r="C7" s="6" t="s">
        <v>189</v>
      </c>
      <c r="D7" s="8" t="s">
        <v>200</v>
      </c>
      <c r="E7" s="8" t="s">
        <v>197</v>
      </c>
      <c r="F7" s="10" t="s">
        <v>462</v>
      </c>
      <c r="G7" s="10" t="s">
        <v>471</v>
      </c>
      <c r="H7" s="30"/>
      <c r="I7" s="10">
        <f>COUNTIF(Tabelle12265397112116[[#All],[Merged Theme]],Tabelle10951259109113[[#This Row],[Merged Theme]])</f>
        <v>3</v>
      </c>
      <c r="J7" s="16" t="s">
        <v>616</v>
      </c>
      <c r="K7" s="9"/>
    </row>
    <row r="8" spans="1:11" ht="21" customHeight="1" x14ac:dyDescent="0.45">
      <c r="A8" s="29" t="s">
        <v>601</v>
      </c>
      <c r="B8" s="6" t="s">
        <v>460</v>
      </c>
      <c r="C8" s="6" t="s">
        <v>460</v>
      </c>
      <c r="D8" s="8" t="s">
        <v>196</v>
      </c>
      <c r="E8" s="8" t="s">
        <v>197</v>
      </c>
      <c r="F8" s="10" t="s">
        <v>460</v>
      </c>
      <c r="G8" s="10" t="s">
        <v>470</v>
      </c>
      <c r="H8" s="30"/>
      <c r="I8" s="17">
        <f>SUM(Tabelle10951259109113[Mentions])</f>
        <v>20</v>
      </c>
      <c r="J8" s="18"/>
      <c r="K8" s="9"/>
    </row>
    <row r="9" spans="1:11" ht="21" customHeight="1" x14ac:dyDescent="0.45">
      <c r="A9" s="29" t="s">
        <v>602</v>
      </c>
      <c r="B9" s="6" t="s">
        <v>189</v>
      </c>
      <c r="C9" s="6" t="s">
        <v>189</v>
      </c>
      <c r="D9" s="8" t="s">
        <v>201</v>
      </c>
      <c r="E9" s="8" t="s">
        <v>199</v>
      </c>
      <c r="F9" s="10" t="s">
        <v>462</v>
      </c>
      <c r="G9" s="10" t="s">
        <v>470</v>
      </c>
      <c r="H9" s="30"/>
      <c r="I9" s="9"/>
      <c r="J9" s="9"/>
      <c r="K9" s="33"/>
    </row>
    <row r="10" spans="1:11" ht="21" customHeight="1" x14ac:dyDescent="0.45">
      <c r="A10" s="29" t="s">
        <v>603</v>
      </c>
      <c r="B10" s="6" t="s">
        <v>460</v>
      </c>
      <c r="C10" s="6" t="s">
        <v>460</v>
      </c>
      <c r="D10" s="8" t="s">
        <v>202</v>
      </c>
      <c r="E10" s="8" t="s">
        <v>197</v>
      </c>
      <c r="F10" s="10" t="s">
        <v>460</v>
      </c>
      <c r="G10" s="10" t="s">
        <v>471</v>
      </c>
      <c r="H10" s="30"/>
      <c r="I10" s="9"/>
      <c r="J10" s="9"/>
      <c r="K10" s="9"/>
    </row>
    <row r="11" spans="1:11" ht="21" customHeight="1" x14ac:dyDescent="0.65">
      <c r="A11" s="29" t="s">
        <v>617</v>
      </c>
      <c r="B11" s="6" t="s">
        <v>616</v>
      </c>
      <c r="C11" s="6" t="s">
        <v>616</v>
      </c>
      <c r="D11" s="8" t="s">
        <v>616</v>
      </c>
      <c r="E11" s="8" t="s">
        <v>618</v>
      </c>
      <c r="F11" s="10" t="s">
        <v>616</v>
      </c>
      <c r="G11" s="10" t="s">
        <v>471</v>
      </c>
      <c r="H11" s="30"/>
      <c r="I11" s="63" t="s">
        <v>451</v>
      </c>
      <c r="J11" s="63"/>
      <c r="K11" s="9"/>
    </row>
    <row r="12" spans="1:11" ht="21" customHeight="1" x14ac:dyDescent="0.65">
      <c r="A12" s="29" t="s">
        <v>604</v>
      </c>
      <c r="B12" s="6" t="s">
        <v>461</v>
      </c>
      <c r="C12" s="6" t="s">
        <v>461</v>
      </c>
      <c r="D12" s="8" t="s">
        <v>128</v>
      </c>
      <c r="E12" s="8" t="s">
        <v>199</v>
      </c>
      <c r="F12" s="10" t="s">
        <v>461</v>
      </c>
      <c r="G12" s="10" t="s">
        <v>8</v>
      </c>
      <c r="H12" s="30"/>
      <c r="I12" s="23" t="s">
        <v>5</v>
      </c>
      <c r="J12" s="22" t="s">
        <v>3</v>
      </c>
      <c r="K12" s="31"/>
    </row>
    <row r="13" spans="1:11" ht="21" customHeight="1" x14ac:dyDescent="0.55000000000000004">
      <c r="A13" s="29" t="s">
        <v>605</v>
      </c>
      <c r="B13" s="6" t="s">
        <v>461</v>
      </c>
      <c r="C13" s="6" t="s">
        <v>461</v>
      </c>
      <c r="D13" s="8" t="s">
        <v>186</v>
      </c>
      <c r="E13" s="8" t="s">
        <v>618</v>
      </c>
      <c r="F13" s="10" t="s">
        <v>461</v>
      </c>
      <c r="G13" s="10" t="s">
        <v>470</v>
      </c>
      <c r="H13" s="30"/>
      <c r="I13" s="6">
        <f>COUNTIF(Tabelle12265397112116[A - Theme],Tabelle10911152394110114[[#This Row],[Theme]])</f>
        <v>7</v>
      </c>
      <c r="J13" s="27" t="s">
        <v>460</v>
      </c>
      <c r="K13" s="34"/>
    </row>
    <row r="14" spans="1:11" ht="21" customHeight="1" x14ac:dyDescent="0.45">
      <c r="A14" s="29" t="s">
        <v>606</v>
      </c>
      <c r="B14" s="6" t="s">
        <v>189</v>
      </c>
      <c r="C14" s="6" t="s">
        <v>189</v>
      </c>
      <c r="D14" s="8" t="s">
        <v>200</v>
      </c>
      <c r="E14" s="8" t="s">
        <v>197</v>
      </c>
      <c r="F14" s="10" t="s">
        <v>462</v>
      </c>
      <c r="G14" s="10" t="s">
        <v>471</v>
      </c>
      <c r="H14" s="30"/>
      <c r="I14" s="6">
        <f>COUNTIF(Tabelle12265397112116[A - Theme],Tabelle10911152394110114[[#This Row],[Theme]])</f>
        <v>6</v>
      </c>
      <c r="J14" s="27" t="s">
        <v>189</v>
      </c>
      <c r="K14" s="35"/>
    </row>
    <row r="15" spans="1:11" ht="21" customHeight="1" x14ac:dyDescent="0.45">
      <c r="A15" s="29" t="s">
        <v>607</v>
      </c>
      <c r="B15" s="6" t="s">
        <v>460</v>
      </c>
      <c r="C15" s="6" t="s">
        <v>460</v>
      </c>
      <c r="D15" s="8" t="s">
        <v>202</v>
      </c>
      <c r="E15" s="8" t="s">
        <v>197</v>
      </c>
      <c r="F15" s="10" t="s">
        <v>460</v>
      </c>
      <c r="G15" s="10" t="s">
        <v>471</v>
      </c>
      <c r="H15" s="30"/>
      <c r="I15" s="6">
        <f>COUNTIF(Tabelle12265397112116[A - Theme],Tabelle10911152394110114[[#This Row],[Theme]])</f>
        <v>4</v>
      </c>
      <c r="J15" s="27" t="s">
        <v>461</v>
      </c>
      <c r="K15" s="35"/>
    </row>
    <row r="16" spans="1:11" ht="21" customHeight="1" x14ac:dyDescent="0.45">
      <c r="A16" s="29" t="s">
        <v>608</v>
      </c>
      <c r="B16" s="6" t="s">
        <v>616</v>
      </c>
      <c r="C16" s="6" t="s">
        <v>616</v>
      </c>
      <c r="D16" s="8" t="s">
        <v>616</v>
      </c>
      <c r="E16" s="8" t="s">
        <v>618</v>
      </c>
      <c r="F16" s="10" t="s">
        <v>616</v>
      </c>
      <c r="G16" s="10" t="s">
        <v>471</v>
      </c>
      <c r="H16" s="30"/>
      <c r="I16" s="6">
        <f>COUNTIF(Tabelle12265397112116[A - Theme],Tabelle10911152394110114[[#This Row],[Theme]])</f>
        <v>3</v>
      </c>
      <c r="J16" s="27" t="s">
        <v>616</v>
      </c>
      <c r="K16" s="35"/>
    </row>
    <row r="17" spans="1:11" ht="21" customHeight="1" x14ac:dyDescent="0.45">
      <c r="A17" s="29" t="s">
        <v>609</v>
      </c>
      <c r="B17" s="6" t="s">
        <v>189</v>
      </c>
      <c r="C17" s="6" t="s">
        <v>189</v>
      </c>
      <c r="D17" s="8" t="s">
        <v>203</v>
      </c>
      <c r="E17" s="8" t="s">
        <v>618</v>
      </c>
      <c r="F17" s="10" t="s">
        <v>462</v>
      </c>
      <c r="G17" s="10" t="s">
        <v>471</v>
      </c>
      <c r="H17" s="30"/>
      <c r="I17" s="20">
        <f>SUM(Tabelle10911152394110114[Mentions])</f>
        <v>20</v>
      </c>
      <c r="J17" s="21"/>
      <c r="K17" s="35"/>
    </row>
    <row r="18" spans="1:11" ht="21" customHeight="1" x14ac:dyDescent="0.45">
      <c r="A18" s="29" t="s">
        <v>610</v>
      </c>
      <c r="B18" s="6" t="s">
        <v>460</v>
      </c>
      <c r="C18" s="6" t="s">
        <v>460</v>
      </c>
      <c r="D18" s="8" t="s">
        <v>196</v>
      </c>
      <c r="E18" s="8" t="s">
        <v>197</v>
      </c>
      <c r="F18" s="10" t="s">
        <v>460</v>
      </c>
      <c r="G18" s="10" t="s">
        <v>470</v>
      </c>
      <c r="H18" s="30"/>
      <c r="I18" s="30"/>
      <c r="J18" s="30"/>
      <c r="K18" s="35"/>
    </row>
    <row r="19" spans="1:11" ht="21" customHeight="1" x14ac:dyDescent="0.45">
      <c r="A19" s="29" t="s">
        <v>611</v>
      </c>
      <c r="B19" s="6" t="s">
        <v>460</v>
      </c>
      <c r="C19" s="6" t="s">
        <v>460</v>
      </c>
      <c r="D19" s="8" t="s">
        <v>202</v>
      </c>
      <c r="E19" s="8" t="s">
        <v>197</v>
      </c>
      <c r="F19" s="10" t="s">
        <v>460</v>
      </c>
      <c r="G19" s="10" t="s">
        <v>471</v>
      </c>
      <c r="H19" s="30"/>
      <c r="I19" s="30"/>
      <c r="J19" s="30"/>
      <c r="K19" s="35"/>
    </row>
    <row r="20" spans="1:11" ht="21" customHeight="1" x14ac:dyDescent="0.65">
      <c r="A20" s="29" t="s">
        <v>612</v>
      </c>
      <c r="B20" s="6" t="s">
        <v>189</v>
      </c>
      <c r="C20" s="6" t="s">
        <v>189</v>
      </c>
      <c r="D20" s="8" t="s">
        <v>204</v>
      </c>
      <c r="E20" s="8" t="s">
        <v>199</v>
      </c>
      <c r="F20" s="10" t="s">
        <v>462</v>
      </c>
      <c r="G20" s="10" t="s">
        <v>471</v>
      </c>
      <c r="H20" s="30"/>
      <c r="I20" s="64" t="s">
        <v>452</v>
      </c>
      <c r="J20" s="64"/>
      <c r="K20" s="35"/>
    </row>
    <row r="21" spans="1:11" ht="21" customHeight="1" x14ac:dyDescent="0.55000000000000004">
      <c r="A21" s="29" t="s">
        <v>613</v>
      </c>
      <c r="B21" s="6" t="s">
        <v>189</v>
      </c>
      <c r="C21" s="6" t="s">
        <v>189</v>
      </c>
      <c r="D21" s="8" t="s">
        <v>200</v>
      </c>
      <c r="E21" s="8" t="s">
        <v>197</v>
      </c>
      <c r="F21" s="10" t="s">
        <v>462</v>
      </c>
      <c r="G21" s="10" t="s">
        <v>471</v>
      </c>
      <c r="H21" s="30"/>
      <c r="I21" s="19" t="s">
        <v>5</v>
      </c>
      <c r="J21" s="19" t="s">
        <v>3</v>
      </c>
      <c r="K21" s="35"/>
    </row>
    <row r="22" spans="1:11" ht="21" customHeight="1" x14ac:dyDescent="0.45">
      <c r="A22" s="29" t="s">
        <v>614</v>
      </c>
      <c r="B22" s="6" t="s">
        <v>461</v>
      </c>
      <c r="C22" s="6" t="s">
        <v>461</v>
      </c>
      <c r="D22" s="8" t="s">
        <v>128</v>
      </c>
      <c r="E22" s="8" t="s">
        <v>199</v>
      </c>
      <c r="F22" s="10" t="s">
        <v>461</v>
      </c>
      <c r="G22" s="10" t="s">
        <v>471</v>
      </c>
      <c r="H22" s="30"/>
      <c r="I22" s="8">
        <f>COUNTIF(Tabelle12265397112116[B - Theme],Tabelle10911111258796111115[[#This Row],[Theme]])</f>
        <v>10</v>
      </c>
      <c r="J22" s="26" t="s">
        <v>197</v>
      </c>
      <c r="K22" s="35"/>
    </row>
    <row r="23" spans="1:11" ht="21" customHeight="1" x14ac:dyDescent="0.45">
      <c r="A23" s="29" t="s">
        <v>615</v>
      </c>
      <c r="B23" s="6" t="s">
        <v>460</v>
      </c>
      <c r="C23" s="6" t="s">
        <v>460</v>
      </c>
      <c r="D23" s="8" t="s">
        <v>202</v>
      </c>
      <c r="E23" s="8" t="s">
        <v>197</v>
      </c>
      <c r="F23" s="10" t="s">
        <v>460</v>
      </c>
      <c r="G23" s="10" t="s">
        <v>471</v>
      </c>
      <c r="H23" s="30"/>
      <c r="I23" s="8">
        <f>COUNTIF(Tabelle12265397112116[B - Theme],Tabelle10911111258796111115[[#This Row],[Theme]])</f>
        <v>5</v>
      </c>
      <c r="J23" s="26" t="s">
        <v>199</v>
      </c>
      <c r="K23" s="35"/>
    </row>
    <row r="24" spans="1:11" ht="21" customHeight="1" x14ac:dyDescent="0.45">
      <c r="A24" s="29"/>
      <c r="B24" s="6"/>
      <c r="C24" s="6"/>
      <c r="D24" s="8"/>
      <c r="E24" s="8"/>
      <c r="F24" s="10"/>
      <c r="G24" s="10"/>
      <c r="H24" s="30"/>
      <c r="I24" s="8">
        <f>COUNTIF(Tabelle12265397112116[B - Theme],Tabelle10911111258796111115[[#This Row],[Theme]])</f>
        <v>5</v>
      </c>
      <c r="J24" s="26" t="s">
        <v>618</v>
      </c>
      <c r="K24" s="33"/>
    </row>
    <row r="25" spans="1:11" ht="21" customHeight="1" x14ac:dyDescent="0.45">
      <c r="A25" s="29"/>
      <c r="B25" s="6"/>
      <c r="C25" s="6"/>
      <c r="D25" s="8"/>
      <c r="E25" s="8"/>
      <c r="F25" s="10"/>
      <c r="G25" s="10"/>
      <c r="H25" s="30"/>
      <c r="I25" s="24">
        <f>SUM(Tabelle10911111258796111115[Mentions])</f>
        <v>20</v>
      </c>
      <c r="J25" s="25"/>
      <c r="K25" s="30"/>
    </row>
    <row r="26" spans="1:11" ht="21" customHeight="1" x14ac:dyDescent="0.45">
      <c r="A26" s="29"/>
      <c r="B26" s="6"/>
      <c r="C26" s="6"/>
      <c r="D26" s="8"/>
      <c r="E26" s="8"/>
      <c r="F26" s="10"/>
      <c r="G26" s="10"/>
      <c r="H26" s="30"/>
      <c r="I26" s="30"/>
      <c r="J26" s="30"/>
      <c r="K26" s="30"/>
    </row>
  </sheetData>
  <mergeCells count="4">
    <mergeCell ref="B2:C2"/>
    <mergeCell ref="D2:E2"/>
    <mergeCell ref="I11:J11"/>
    <mergeCell ref="I20:J20"/>
  </mergeCells>
  <pageMargins left="0.7" right="0.7" top="0.78740157499999996" bottom="0.78740157499999996"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64659-DEE6-490C-9B17-49AF3301BE58}">
  <dimension ref="A1:L26"/>
  <sheetViews>
    <sheetView zoomScale="70" zoomScaleNormal="70" workbookViewId="0">
      <selection activeCell="A4" sqref="A4"/>
    </sheetView>
  </sheetViews>
  <sheetFormatPr baseColWidth="10" defaultRowHeight="14.25" x14ac:dyDescent="0.45"/>
  <cols>
    <col min="1" max="1" width="43.46484375" customWidth="1"/>
    <col min="2" max="2" width="19.06640625" customWidth="1"/>
    <col min="3" max="3" width="24.06640625" customWidth="1"/>
    <col min="4" max="4" width="29.59765625" customWidth="1"/>
    <col min="5" max="5" width="19.46484375" customWidth="1"/>
    <col min="6" max="6" width="27.59765625" customWidth="1"/>
    <col min="7" max="7" width="28.796875" customWidth="1"/>
    <col min="8" max="8" width="13.33203125" customWidth="1"/>
    <col min="10" max="10" width="14.06640625" customWidth="1"/>
    <col min="11" max="11" width="41.33203125" customWidth="1"/>
  </cols>
  <sheetData>
    <row r="1" spans="1:12" ht="54" customHeight="1" x14ac:dyDescent="0.45">
      <c r="A1" s="37" t="s">
        <v>118</v>
      </c>
      <c r="B1" s="37"/>
      <c r="C1" s="30"/>
      <c r="D1" s="30"/>
      <c r="E1" s="30"/>
      <c r="F1" s="30"/>
      <c r="G1" s="30"/>
      <c r="H1" s="30"/>
      <c r="I1" s="30"/>
      <c r="J1" s="30"/>
      <c r="K1" s="30"/>
      <c r="L1" s="30"/>
    </row>
    <row r="2" spans="1:12" ht="26.65" x14ac:dyDescent="0.85">
      <c r="A2" s="30"/>
      <c r="B2" s="65" t="s">
        <v>472</v>
      </c>
      <c r="C2" s="61" t="s">
        <v>451</v>
      </c>
      <c r="D2" s="61"/>
      <c r="E2" s="62" t="s">
        <v>452</v>
      </c>
      <c r="F2" s="62"/>
      <c r="G2" s="28" t="s">
        <v>457</v>
      </c>
      <c r="H2" s="28"/>
      <c r="I2" s="30"/>
      <c r="J2" s="15" t="s">
        <v>457</v>
      </c>
      <c r="K2" s="15"/>
      <c r="L2" s="31"/>
    </row>
    <row r="3" spans="1:12" ht="21" customHeight="1" x14ac:dyDescent="0.55000000000000004">
      <c r="A3" s="13" t="s">
        <v>1</v>
      </c>
      <c r="B3" s="65"/>
      <c r="C3" s="12" t="s">
        <v>453</v>
      </c>
      <c r="D3" s="12" t="s">
        <v>454</v>
      </c>
      <c r="E3" s="11" t="s">
        <v>455</v>
      </c>
      <c r="F3" s="11" t="s">
        <v>456</v>
      </c>
      <c r="G3" s="14" t="s">
        <v>143</v>
      </c>
      <c r="H3" s="14" t="s">
        <v>4</v>
      </c>
      <c r="I3" s="30"/>
      <c r="J3" s="14" t="s">
        <v>5</v>
      </c>
      <c r="K3" s="14" t="s">
        <v>143</v>
      </c>
      <c r="L3" s="32"/>
    </row>
    <row r="4" spans="1:12" ht="21" customHeight="1" x14ac:dyDescent="0.45">
      <c r="A4" s="29" t="s">
        <v>636</v>
      </c>
      <c r="B4" s="39" t="s">
        <v>207</v>
      </c>
      <c r="C4" s="6" t="s">
        <v>638</v>
      </c>
      <c r="D4" s="6" t="s">
        <v>638</v>
      </c>
      <c r="E4" s="8" t="s">
        <v>206</v>
      </c>
      <c r="F4" s="8" t="s">
        <v>205</v>
      </c>
      <c r="G4" s="10" t="s">
        <v>205</v>
      </c>
      <c r="H4" s="10" t="s">
        <v>8</v>
      </c>
      <c r="I4" s="30"/>
      <c r="J4" s="10">
        <f>COUNTIF(Tabelle12265397112116120[[#All],[Merged Theme]],Tabelle10951259109113117[[#This Row],[Merged Theme]])</f>
        <v>4</v>
      </c>
      <c r="K4" s="16" t="s">
        <v>199</v>
      </c>
      <c r="L4" s="9"/>
    </row>
    <row r="5" spans="1:12" s="47" customFormat="1" ht="21" customHeight="1" x14ac:dyDescent="0.45">
      <c r="A5" s="29" t="s">
        <v>629</v>
      </c>
      <c r="B5" s="39" t="s">
        <v>473</v>
      </c>
      <c r="C5" s="6" t="s">
        <v>186</v>
      </c>
      <c r="D5" s="6" t="s">
        <v>639</v>
      </c>
      <c r="E5" s="8" t="s">
        <v>186</v>
      </c>
      <c r="F5" s="8" t="s">
        <v>199</v>
      </c>
      <c r="G5" s="10" t="s">
        <v>199</v>
      </c>
      <c r="H5" s="10" t="s">
        <v>470</v>
      </c>
      <c r="I5" s="44"/>
      <c r="J5" s="43">
        <f>COUNTIF(Tabelle12265397112116120[[#All],[Merged Theme]],Tabelle10951259109113117[[#This Row],[Merged Theme]])</f>
        <v>3</v>
      </c>
      <c r="K5" s="45" t="s">
        <v>179</v>
      </c>
      <c r="L5" s="46"/>
    </row>
    <row r="6" spans="1:12" ht="21" customHeight="1" x14ac:dyDescent="0.45">
      <c r="A6" s="29" t="s">
        <v>630</v>
      </c>
      <c r="B6" s="39" t="s">
        <v>473</v>
      </c>
      <c r="C6" s="6" t="s">
        <v>117</v>
      </c>
      <c r="D6" s="6" t="s">
        <v>117</v>
      </c>
      <c r="E6" s="8" t="s">
        <v>208</v>
      </c>
      <c r="F6" s="8" t="s">
        <v>179</v>
      </c>
      <c r="G6" s="10" t="s">
        <v>179</v>
      </c>
      <c r="H6" s="10" t="s">
        <v>470</v>
      </c>
      <c r="I6" s="30"/>
      <c r="J6" s="10">
        <f>COUNTIF(Tabelle12265397112116120[[#All],[Merged Theme]],Tabelle10951259109113117[[#This Row],[Merged Theme]])</f>
        <v>2</v>
      </c>
      <c r="K6" s="16" t="s">
        <v>205</v>
      </c>
      <c r="L6" s="9"/>
    </row>
    <row r="7" spans="1:12" ht="21" customHeight="1" x14ac:dyDescent="0.45">
      <c r="A7" s="29" t="s">
        <v>631</v>
      </c>
      <c r="B7" s="39" t="s">
        <v>473</v>
      </c>
      <c r="C7" s="6" t="s">
        <v>462</v>
      </c>
      <c r="D7" s="6" t="s">
        <v>639</v>
      </c>
      <c r="E7" s="8" t="s">
        <v>128</v>
      </c>
      <c r="F7" s="8" t="s">
        <v>199</v>
      </c>
      <c r="G7" s="10" t="s">
        <v>199</v>
      </c>
      <c r="H7" s="10" t="s">
        <v>471</v>
      </c>
      <c r="I7" s="30"/>
      <c r="J7" s="17">
        <f>SUM(Tabelle10951259109113117[Mentions])</f>
        <v>9</v>
      </c>
      <c r="K7" s="18"/>
      <c r="L7" s="9"/>
    </row>
    <row r="8" spans="1:12" ht="21" customHeight="1" x14ac:dyDescent="0.45">
      <c r="A8" s="29" t="s">
        <v>632</v>
      </c>
      <c r="B8" s="39" t="s">
        <v>473</v>
      </c>
      <c r="C8" s="6" t="s">
        <v>186</v>
      </c>
      <c r="D8" s="6" t="s">
        <v>639</v>
      </c>
      <c r="E8" s="8" t="s">
        <v>186</v>
      </c>
      <c r="F8" s="8" t="s">
        <v>199</v>
      </c>
      <c r="G8" s="10" t="s">
        <v>199</v>
      </c>
      <c r="H8" s="10" t="s">
        <v>470</v>
      </c>
      <c r="I8" s="30"/>
      <c r="J8" s="9"/>
      <c r="K8" s="9"/>
      <c r="L8" s="9"/>
    </row>
    <row r="9" spans="1:12" ht="21" customHeight="1" x14ac:dyDescent="0.45">
      <c r="A9" s="29" t="s">
        <v>633</v>
      </c>
      <c r="B9" s="39" t="s">
        <v>473</v>
      </c>
      <c r="C9" s="6" t="s">
        <v>462</v>
      </c>
      <c r="D9" s="6" t="s">
        <v>639</v>
      </c>
      <c r="E9" s="8" t="s">
        <v>189</v>
      </c>
      <c r="F9" s="8" t="s">
        <v>205</v>
      </c>
      <c r="G9" s="10" t="s">
        <v>205</v>
      </c>
      <c r="H9" s="10" t="s">
        <v>470</v>
      </c>
      <c r="I9" s="30"/>
      <c r="J9" s="9"/>
      <c r="K9" s="9"/>
      <c r="L9" s="33"/>
    </row>
    <row r="10" spans="1:12" ht="21" customHeight="1" x14ac:dyDescent="0.65">
      <c r="A10" s="29" t="s">
        <v>634</v>
      </c>
      <c r="B10" s="39" t="s">
        <v>207</v>
      </c>
      <c r="C10" s="6" t="s">
        <v>209</v>
      </c>
      <c r="D10" s="6" t="s">
        <v>117</v>
      </c>
      <c r="E10" s="8" t="s">
        <v>209</v>
      </c>
      <c r="F10" s="8" t="s">
        <v>179</v>
      </c>
      <c r="G10" s="10" t="s">
        <v>179</v>
      </c>
      <c r="H10" s="10" t="s">
        <v>470</v>
      </c>
      <c r="I10" s="30"/>
      <c r="J10" s="63" t="s">
        <v>451</v>
      </c>
      <c r="K10" s="63"/>
      <c r="L10" s="9"/>
    </row>
    <row r="11" spans="1:12" ht="21" customHeight="1" x14ac:dyDescent="0.55000000000000004">
      <c r="A11" s="29" t="s">
        <v>635</v>
      </c>
      <c r="B11" s="39" t="s">
        <v>473</v>
      </c>
      <c r="C11" s="6" t="s">
        <v>209</v>
      </c>
      <c r="D11" s="6" t="s">
        <v>117</v>
      </c>
      <c r="E11" s="8" t="s">
        <v>179</v>
      </c>
      <c r="F11" s="8" t="s">
        <v>179</v>
      </c>
      <c r="G11" s="10" t="s">
        <v>179</v>
      </c>
      <c r="H11" s="10" t="s">
        <v>471</v>
      </c>
      <c r="I11" s="30"/>
      <c r="J11" s="23" t="s">
        <v>5</v>
      </c>
      <c r="K11" s="22" t="s">
        <v>3</v>
      </c>
      <c r="L11" s="9"/>
    </row>
    <row r="12" spans="1:12" ht="21" customHeight="1" x14ac:dyDescent="0.65">
      <c r="A12" s="29" t="s">
        <v>637</v>
      </c>
      <c r="B12" s="39" t="s">
        <v>473</v>
      </c>
      <c r="C12" s="6" t="s">
        <v>638</v>
      </c>
      <c r="D12" s="6" t="s">
        <v>638</v>
      </c>
      <c r="E12" s="8" t="s">
        <v>181</v>
      </c>
      <c r="F12" s="8" t="s">
        <v>199</v>
      </c>
      <c r="G12" s="10" t="s">
        <v>199</v>
      </c>
      <c r="H12" s="10" t="s">
        <v>470</v>
      </c>
      <c r="I12" s="30"/>
      <c r="J12" s="6">
        <f>COUNTIF(Tabelle12265397112116120[A - Theme],Tabelle10911152394110114118[[#This Row],[Theme]])</f>
        <v>4</v>
      </c>
      <c r="K12" s="27" t="s">
        <v>639</v>
      </c>
      <c r="L12" s="31"/>
    </row>
    <row r="13" spans="1:12" ht="21" customHeight="1" x14ac:dyDescent="0.55000000000000004">
      <c r="A13" s="29"/>
      <c r="B13" s="40"/>
      <c r="C13" s="6"/>
      <c r="D13" s="6"/>
      <c r="E13" s="8"/>
      <c r="F13" s="8"/>
      <c r="G13" s="10"/>
      <c r="H13" s="10"/>
      <c r="I13" s="30"/>
      <c r="J13" s="6">
        <f>COUNTIF(Tabelle12265397112116120[A - Theme],Tabelle10911152394110114118[[#This Row],[Theme]])</f>
        <v>3</v>
      </c>
      <c r="K13" s="27" t="s">
        <v>117</v>
      </c>
      <c r="L13" s="34"/>
    </row>
    <row r="14" spans="1:12" ht="21" customHeight="1" x14ac:dyDescent="0.45">
      <c r="A14" s="29"/>
      <c r="B14" s="40"/>
      <c r="C14" s="6"/>
      <c r="D14" s="6"/>
      <c r="E14" s="8"/>
      <c r="F14" s="8"/>
      <c r="G14" s="10"/>
      <c r="H14" s="10"/>
      <c r="I14" s="30"/>
      <c r="J14" s="6">
        <f>COUNTIF(Tabelle12265397112116120[A - Theme],Tabelle10911152394110114118[[#This Row],[Theme]])</f>
        <v>2</v>
      </c>
      <c r="K14" s="27" t="s">
        <v>638</v>
      </c>
      <c r="L14" s="35"/>
    </row>
    <row r="15" spans="1:12" ht="21" customHeight="1" x14ac:dyDescent="0.45">
      <c r="A15" s="29"/>
      <c r="B15" s="40"/>
      <c r="C15" s="6"/>
      <c r="D15" s="6"/>
      <c r="E15" s="8"/>
      <c r="F15" s="8"/>
      <c r="G15" s="10"/>
      <c r="H15" s="10"/>
      <c r="I15" s="30"/>
      <c r="J15" s="20">
        <f>SUM(Tabelle10911152394110114118[Mentions])</f>
        <v>9</v>
      </c>
      <c r="K15" s="21"/>
      <c r="L15" s="35"/>
    </row>
    <row r="16" spans="1:12" ht="21" customHeight="1" x14ac:dyDescent="0.45">
      <c r="A16" s="29"/>
      <c r="B16" s="40"/>
      <c r="C16" s="6"/>
      <c r="D16" s="6"/>
      <c r="E16" s="8"/>
      <c r="F16" s="8"/>
      <c r="G16" s="10"/>
      <c r="H16" s="10"/>
      <c r="I16" s="30"/>
      <c r="J16" s="30"/>
      <c r="K16" s="30"/>
      <c r="L16" s="35"/>
    </row>
    <row r="17" spans="1:12" ht="21" customHeight="1" x14ac:dyDescent="0.45">
      <c r="A17" s="29"/>
      <c r="B17" s="40"/>
      <c r="C17" s="6"/>
      <c r="D17" s="6"/>
      <c r="E17" s="8"/>
      <c r="F17" s="8"/>
      <c r="G17" s="10"/>
      <c r="H17" s="10"/>
      <c r="I17" s="30"/>
      <c r="J17" s="30"/>
      <c r="K17" s="30"/>
      <c r="L17" s="35"/>
    </row>
    <row r="18" spans="1:12" ht="21" customHeight="1" x14ac:dyDescent="0.65">
      <c r="A18" s="29"/>
      <c r="B18" s="40"/>
      <c r="C18" s="6"/>
      <c r="D18" s="6"/>
      <c r="E18" s="8"/>
      <c r="F18" s="8"/>
      <c r="G18" s="10"/>
      <c r="H18" s="10"/>
      <c r="I18" s="30"/>
      <c r="J18" s="64" t="s">
        <v>452</v>
      </c>
      <c r="K18" s="64"/>
      <c r="L18" s="35"/>
    </row>
    <row r="19" spans="1:12" ht="21" customHeight="1" x14ac:dyDescent="0.55000000000000004">
      <c r="A19" s="29"/>
      <c r="B19" s="40"/>
      <c r="C19" s="6"/>
      <c r="D19" s="6"/>
      <c r="E19" s="8"/>
      <c r="F19" s="8"/>
      <c r="G19" s="10"/>
      <c r="H19" s="10"/>
      <c r="I19" s="30"/>
      <c r="J19" s="19" t="s">
        <v>5</v>
      </c>
      <c r="K19" s="19" t="s">
        <v>3</v>
      </c>
      <c r="L19" s="35"/>
    </row>
    <row r="20" spans="1:12" ht="21" customHeight="1" x14ac:dyDescent="0.45">
      <c r="A20" s="29"/>
      <c r="B20" s="40"/>
      <c r="C20" s="6"/>
      <c r="D20" s="6"/>
      <c r="E20" s="8"/>
      <c r="F20" s="8"/>
      <c r="G20" s="10"/>
      <c r="H20" s="10"/>
      <c r="I20" s="30"/>
      <c r="J20" s="8">
        <f>COUNTIF(Tabelle12265397112116120[B - Theme],Tabelle10911111258796111115119[[#This Row],[Theme]])</f>
        <v>4</v>
      </c>
      <c r="K20" s="26" t="s">
        <v>199</v>
      </c>
      <c r="L20" s="35"/>
    </row>
    <row r="21" spans="1:12" ht="21" customHeight="1" x14ac:dyDescent="0.45">
      <c r="A21" s="29"/>
      <c r="B21" s="40"/>
      <c r="C21" s="6"/>
      <c r="D21" s="6"/>
      <c r="E21" s="8"/>
      <c r="F21" s="8"/>
      <c r="G21" s="10"/>
      <c r="H21" s="10"/>
      <c r="I21" s="30"/>
      <c r="J21" s="8">
        <f>COUNTIF(Tabelle12265397112116120[B - Theme],Tabelle10911111258796111115119[[#This Row],[Theme]])</f>
        <v>3</v>
      </c>
      <c r="K21" s="26" t="s">
        <v>179</v>
      </c>
      <c r="L21" s="35"/>
    </row>
    <row r="22" spans="1:12" ht="21" customHeight="1" x14ac:dyDescent="0.45">
      <c r="A22" s="29"/>
      <c r="B22" s="40"/>
      <c r="C22" s="6"/>
      <c r="D22" s="6"/>
      <c r="E22" s="8"/>
      <c r="F22" s="8"/>
      <c r="G22" s="10"/>
      <c r="H22" s="10"/>
      <c r="I22" s="30"/>
      <c r="J22" s="8">
        <f>COUNTIF(Tabelle12265397112116120[B - Theme],Tabelle10911111258796111115119[[#This Row],[Theme]])</f>
        <v>2</v>
      </c>
      <c r="K22" s="26" t="s">
        <v>205</v>
      </c>
      <c r="L22" s="35"/>
    </row>
    <row r="23" spans="1:12" ht="21" customHeight="1" x14ac:dyDescent="0.45">
      <c r="A23" s="29"/>
      <c r="B23" s="40"/>
      <c r="C23" s="6"/>
      <c r="D23" s="6"/>
      <c r="E23" s="8"/>
      <c r="F23" s="8"/>
      <c r="G23" s="10"/>
      <c r="H23" s="10"/>
      <c r="I23" s="30"/>
      <c r="J23" s="24">
        <f>SUM(Tabelle10911111258796111115119[Mentions])</f>
        <v>9</v>
      </c>
      <c r="K23" s="25"/>
      <c r="L23" s="35"/>
    </row>
    <row r="24" spans="1:12" ht="21" customHeight="1" x14ac:dyDescent="0.45">
      <c r="A24" s="29"/>
      <c r="B24" s="40"/>
      <c r="C24" s="6"/>
      <c r="D24" s="6"/>
      <c r="E24" s="8"/>
      <c r="F24" s="8"/>
      <c r="G24" s="10"/>
      <c r="H24" s="10"/>
      <c r="I24" s="30"/>
      <c r="J24" s="30"/>
      <c r="K24" s="30"/>
      <c r="L24" s="33"/>
    </row>
    <row r="25" spans="1:12" ht="21" customHeight="1" x14ac:dyDescent="0.45">
      <c r="A25" s="29"/>
      <c r="B25" s="40"/>
      <c r="C25" s="6"/>
      <c r="D25" s="6"/>
      <c r="E25" s="8"/>
      <c r="F25" s="8"/>
      <c r="G25" s="10"/>
      <c r="H25" s="10"/>
      <c r="I25" s="30"/>
      <c r="J25" s="30"/>
      <c r="K25" s="30"/>
      <c r="L25" s="30"/>
    </row>
    <row r="26" spans="1:12" ht="21" customHeight="1" x14ac:dyDescent="0.45"/>
  </sheetData>
  <mergeCells count="5">
    <mergeCell ref="C2:D2"/>
    <mergeCell ref="E2:F2"/>
    <mergeCell ref="J10:K10"/>
    <mergeCell ref="J18:K18"/>
    <mergeCell ref="B2:B3"/>
  </mergeCells>
  <pageMargins left="0.7" right="0.7" top="0.78740157499999996" bottom="0.78740157499999996"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13C31-C9C6-470A-B019-E048F65E4A3F}">
  <dimension ref="A1:K77"/>
  <sheetViews>
    <sheetView zoomScale="70" zoomScaleNormal="70" workbookViewId="0">
      <selection activeCell="A4" sqref="A4"/>
    </sheetView>
  </sheetViews>
  <sheetFormatPr baseColWidth="10" defaultRowHeight="14.25" x14ac:dyDescent="0.45"/>
  <cols>
    <col min="1" max="1" width="43.46484375" customWidth="1"/>
    <col min="2" max="2" width="25.265625" customWidth="1"/>
    <col min="3" max="3" width="28.59765625" customWidth="1"/>
    <col min="4" max="4" width="20.53125" customWidth="1"/>
    <col min="5" max="5" width="27.59765625" customWidth="1"/>
    <col min="6" max="6" width="31.59765625" customWidth="1"/>
    <col min="7" max="7" width="13.19921875" customWidth="1"/>
    <col min="9" max="9" width="14.06640625" customWidth="1"/>
    <col min="10" max="10" width="41.33203125" customWidth="1"/>
  </cols>
  <sheetData>
    <row r="1" spans="1:11" ht="54" customHeight="1" x14ac:dyDescent="0.45">
      <c r="A1" s="37" t="s">
        <v>621</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640</v>
      </c>
      <c r="B4" s="6" t="s">
        <v>1574</v>
      </c>
      <c r="C4" s="6" t="s">
        <v>1585</v>
      </c>
      <c r="D4" s="8" t="s">
        <v>216</v>
      </c>
      <c r="E4" s="8" t="s">
        <v>210</v>
      </c>
      <c r="F4" s="10" t="s">
        <v>1587</v>
      </c>
      <c r="G4" s="60" t="s">
        <v>470</v>
      </c>
      <c r="H4" s="30"/>
      <c r="I4" s="43">
        <f>COUNTIF(Tabelle12265397112116120129[[#All],[Merged Theme]],Tabelle10951259109113117126[[#This Row],[Merged Theme]])</f>
        <v>17</v>
      </c>
      <c r="J4" s="45" t="s">
        <v>1583</v>
      </c>
      <c r="K4" s="9"/>
    </row>
    <row r="5" spans="1:11" s="47" customFormat="1" ht="21" customHeight="1" x14ac:dyDescent="0.45">
      <c r="A5" s="29" t="s">
        <v>641</v>
      </c>
      <c r="B5" s="41" t="s">
        <v>1574</v>
      </c>
      <c r="C5" s="41" t="s">
        <v>1585</v>
      </c>
      <c r="D5" s="8" t="s">
        <v>217</v>
      </c>
      <c r="E5" s="42" t="s">
        <v>210</v>
      </c>
      <c r="F5" s="43" t="s">
        <v>1587</v>
      </c>
      <c r="G5" s="60" t="s">
        <v>470</v>
      </c>
      <c r="H5" s="44"/>
      <c r="I5" s="43">
        <f>COUNTIF(Tabelle12265397112116120129[[#All],[Merged Theme]],Tabelle10951259109113117126[[#This Row],[Merged Theme]])</f>
        <v>16</v>
      </c>
      <c r="J5" s="45" t="s">
        <v>469</v>
      </c>
      <c r="K5" s="46"/>
    </row>
    <row r="6" spans="1:11" ht="21" customHeight="1" x14ac:dyDescent="0.45">
      <c r="A6" s="29" t="s">
        <v>642</v>
      </c>
      <c r="B6" s="6" t="s">
        <v>1575</v>
      </c>
      <c r="C6" s="6" t="s">
        <v>1585</v>
      </c>
      <c r="D6" s="8" t="s">
        <v>218</v>
      </c>
      <c r="E6" s="8" t="s">
        <v>210</v>
      </c>
      <c r="F6" s="10" t="s">
        <v>1587</v>
      </c>
      <c r="G6" s="60" t="s">
        <v>8</v>
      </c>
      <c r="H6" s="30"/>
      <c r="I6" s="10">
        <f>COUNTIF(Tabelle12265397112116120129[[#All],[Merged Theme]],Tabelle10951259109113117126[[#This Row],[Merged Theme]])</f>
        <v>15</v>
      </c>
      <c r="J6" s="45" t="s">
        <v>1586</v>
      </c>
      <c r="K6" s="9"/>
    </row>
    <row r="7" spans="1:11" ht="21" customHeight="1" x14ac:dyDescent="0.45">
      <c r="A7" s="29" t="s">
        <v>643</v>
      </c>
      <c r="B7" s="6" t="s">
        <v>1576</v>
      </c>
      <c r="C7" s="6" t="s">
        <v>1582</v>
      </c>
      <c r="D7" s="8" t="s">
        <v>219</v>
      </c>
      <c r="E7" s="8" t="s">
        <v>213</v>
      </c>
      <c r="F7" s="10" t="s">
        <v>1586</v>
      </c>
      <c r="G7" s="60" t="s">
        <v>470</v>
      </c>
      <c r="H7" s="30"/>
      <c r="I7" s="10">
        <f>COUNTIF(Tabelle12265397112116120129[[#All],[Merged Theme]],Tabelle10951259109113117126[[#This Row],[Merged Theme]])</f>
        <v>13</v>
      </c>
      <c r="J7" s="45" t="s">
        <v>1584</v>
      </c>
      <c r="K7" s="9"/>
    </row>
    <row r="8" spans="1:11" ht="21" customHeight="1" x14ac:dyDescent="0.45">
      <c r="A8" s="29" t="s">
        <v>644</v>
      </c>
      <c r="B8" s="6" t="s">
        <v>1577</v>
      </c>
      <c r="C8" s="6" t="s">
        <v>1583</v>
      </c>
      <c r="D8" s="8" t="s">
        <v>220</v>
      </c>
      <c r="E8" s="8" t="s">
        <v>213</v>
      </c>
      <c r="F8" s="10" t="s">
        <v>1583</v>
      </c>
      <c r="G8" s="60" t="s">
        <v>8</v>
      </c>
      <c r="H8" s="30"/>
      <c r="I8" s="10">
        <f>COUNTIF(Tabelle12265397112116120129[[#All],[Merged Theme]],Tabelle10951259109113117126[[#This Row],[Merged Theme]])</f>
        <v>12</v>
      </c>
      <c r="J8" s="45" t="s">
        <v>1587</v>
      </c>
      <c r="K8" s="9"/>
    </row>
    <row r="9" spans="1:11" ht="21" customHeight="1" x14ac:dyDescent="0.45">
      <c r="A9" s="29" t="s">
        <v>645</v>
      </c>
      <c r="B9" s="6" t="s">
        <v>1576</v>
      </c>
      <c r="C9" s="6" t="s">
        <v>1582</v>
      </c>
      <c r="D9" s="8" t="s">
        <v>217</v>
      </c>
      <c r="E9" s="8" t="s">
        <v>214</v>
      </c>
      <c r="F9" s="10" t="s">
        <v>1586</v>
      </c>
      <c r="G9" s="60" t="s">
        <v>8</v>
      </c>
      <c r="H9" s="30"/>
      <c r="I9" s="17">
        <f>SUM(Tabelle10951259109113117126[Mentions])</f>
        <v>73</v>
      </c>
      <c r="J9" s="18"/>
      <c r="K9" s="33"/>
    </row>
    <row r="10" spans="1:11" ht="21" customHeight="1" x14ac:dyDescent="0.45">
      <c r="A10" s="29" t="s">
        <v>646</v>
      </c>
      <c r="B10" s="6" t="s">
        <v>1576</v>
      </c>
      <c r="C10" s="6" t="s">
        <v>1582</v>
      </c>
      <c r="D10" s="8" t="s">
        <v>217</v>
      </c>
      <c r="E10" s="8" t="s">
        <v>214</v>
      </c>
      <c r="F10" s="10" t="s">
        <v>1586</v>
      </c>
      <c r="G10" s="60" t="s">
        <v>470</v>
      </c>
      <c r="H10" s="30"/>
      <c r="I10" s="30"/>
      <c r="J10" s="30"/>
      <c r="K10" s="9"/>
    </row>
    <row r="11" spans="1:11" ht="21" customHeight="1" x14ac:dyDescent="0.45">
      <c r="A11" s="29" t="s">
        <v>647</v>
      </c>
      <c r="B11" s="6" t="s">
        <v>1578</v>
      </c>
      <c r="C11" s="6" t="s">
        <v>1585</v>
      </c>
      <c r="D11" s="8" t="s">
        <v>217</v>
      </c>
      <c r="E11" s="8" t="s">
        <v>214</v>
      </c>
      <c r="F11" s="10" t="s">
        <v>1587</v>
      </c>
      <c r="G11" s="60" t="s">
        <v>8</v>
      </c>
      <c r="H11" s="30"/>
      <c r="I11" s="30"/>
      <c r="J11" s="30"/>
      <c r="K11" s="9"/>
    </row>
    <row r="12" spans="1:11" ht="21" customHeight="1" x14ac:dyDescent="0.65">
      <c r="A12" s="29" t="s">
        <v>648</v>
      </c>
      <c r="B12" s="6" t="s">
        <v>1576</v>
      </c>
      <c r="C12" s="6" t="s">
        <v>1582</v>
      </c>
      <c r="D12" s="8" t="s">
        <v>219</v>
      </c>
      <c r="E12" s="8" t="s">
        <v>213</v>
      </c>
      <c r="F12" s="10" t="s">
        <v>1586</v>
      </c>
      <c r="G12" s="60" t="s">
        <v>470</v>
      </c>
      <c r="H12" s="30"/>
      <c r="I12" s="63" t="s">
        <v>451</v>
      </c>
      <c r="J12" s="63"/>
      <c r="K12" s="31"/>
    </row>
    <row r="13" spans="1:11" ht="21" customHeight="1" x14ac:dyDescent="0.55000000000000004">
      <c r="A13" s="29" t="s">
        <v>649</v>
      </c>
      <c r="B13" s="6" t="s">
        <v>1579</v>
      </c>
      <c r="C13" s="6" t="s">
        <v>469</v>
      </c>
      <c r="D13" s="8" t="s">
        <v>221</v>
      </c>
      <c r="E13" s="8" t="s">
        <v>211</v>
      </c>
      <c r="F13" s="10" t="s">
        <v>469</v>
      </c>
      <c r="G13" s="60" t="s">
        <v>8</v>
      </c>
      <c r="H13" s="30"/>
      <c r="I13" s="23" t="s">
        <v>5</v>
      </c>
      <c r="J13" s="22" t="s">
        <v>3</v>
      </c>
      <c r="K13" s="34"/>
    </row>
    <row r="14" spans="1:11" ht="21" customHeight="1" x14ac:dyDescent="0.45">
      <c r="A14" s="29" t="s">
        <v>650</v>
      </c>
      <c r="B14" s="6" t="s">
        <v>1577</v>
      </c>
      <c r="C14" s="6" t="s">
        <v>1583</v>
      </c>
      <c r="D14" s="8" t="s">
        <v>220</v>
      </c>
      <c r="E14" s="8" t="s">
        <v>213</v>
      </c>
      <c r="F14" s="10" t="s">
        <v>1583</v>
      </c>
      <c r="G14" s="60" t="s">
        <v>8</v>
      </c>
      <c r="H14" s="30"/>
      <c r="I14" s="6">
        <f>COUNTIF(Tabelle12265397112116120129[A - Theme],Tabelle10911152394110114118127[[#This Row],[Theme]])</f>
        <v>17</v>
      </c>
      <c r="J14" s="38" t="s">
        <v>1583</v>
      </c>
      <c r="K14" s="35"/>
    </row>
    <row r="15" spans="1:11" ht="21" customHeight="1" x14ac:dyDescent="0.45">
      <c r="A15" s="29" t="s">
        <v>651</v>
      </c>
      <c r="B15" s="6" t="s">
        <v>1573</v>
      </c>
      <c r="C15" s="6" t="s">
        <v>1584</v>
      </c>
      <c r="D15" s="8" t="s">
        <v>222</v>
      </c>
      <c r="E15" s="8" t="s">
        <v>214</v>
      </c>
      <c r="F15" s="10" t="s">
        <v>1584</v>
      </c>
      <c r="G15" s="60" t="s">
        <v>8</v>
      </c>
      <c r="H15" s="30"/>
      <c r="I15" s="6">
        <f>COUNTIF(Tabelle12265397112116120129[A - Theme],Tabelle10911152394110114118127[[#This Row],[Theme]])</f>
        <v>16</v>
      </c>
      <c r="J15" s="38" t="s">
        <v>469</v>
      </c>
      <c r="K15" s="35"/>
    </row>
    <row r="16" spans="1:11" ht="21" customHeight="1" x14ac:dyDescent="0.45">
      <c r="A16" s="29" t="s">
        <v>652</v>
      </c>
      <c r="B16" s="6" t="s">
        <v>1568</v>
      </c>
      <c r="C16" s="6" t="s">
        <v>1583</v>
      </c>
      <c r="D16" s="8" t="s">
        <v>220</v>
      </c>
      <c r="E16" s="8" t="s">
        <v>213</v>
      </c>
      <c r="F16" s="10" t="s">
        <v>1583</v>
      </c>
      <c r="G16" s="60" t="s">
        <v>8</v>
      </c>
      <c r="H16" s="30"/>
      <c r="I16" s="6">
        <f>COUNTIF(Tabelle12265397112116120129[A - Theme],Tabelle10911152394110114118127[[#This Row],[Theme]])</f>
        <v>15</v>
      </c>
      <c r="J16" s="38" t="s">
        <v>1582</v>
      </c>
      <c r="K16" s="35"/>
    </row>
    <row r="17" spans="1:11" ht="21" customHeight="1" x14ac:dyDescent="0.45">
      <c r="A17" s="29" t="s">
        <v>653</v>
      </c>
      <c r="B17" s="6" t="s">
        <v>1576</v>
      </c>
      <c r="C17" s="6" t="s">
        <v>1582</v>
      </c>
      <c r="D17" s="8" t="s">
        <v>222</v>
      </c>
      <c r="E17" s="8" t="s">
        <v>211</v>
      </c>
      <c r="F17" s="10" t="s">
        <v>1586</v>
      </c>
      <c r="G17" s="60" t="s">
        <v>470</v>
      </c>
      <c r="H17" s="30"/>
      <c r="I17" s="6">
        <f>COUNTIF(Tabelle12265397112116120129[A - Theme],Tabelle10911152394110114118127[[#This Row],[Theme]])</f>
        <v>13</v>
      </c>
      <c r="J17" s="38" t="s">
        <v>1584</v>
      </c>
      <c r="K17" s="35"/>
    </row>
    <row r="18" spans="1:11" ht="21" customHeight="1" x14ac:dyDescent="0.45">
      <c r="A18" s="29" t="s">
        <v>654</v>
      </c>
      <c r="B18" s="6" t="s">
        <v>1573</v>
      </c>
      <c r="C18" s="6" t="s">
        <v>1584</v>
      </c>
      <c r="D18" s="8" t="s">
        <v>222</v>
      </c>
      <c r="E18" s="8" t="s">
        <v>214</v>
      </c>
      <c r="F18" s="10" t="s">
        <v>1584</v>
      </c>
      <c r="G18" s="60" t="s">
        <v>8</v>
      </c>
      <c r="H18" s="30"/>
      <c r="I18" s="6">
        <f>COUNTIF(Tabelle12265397112116120129[A - Theme],Tabelle10911152394110114118127[[#This Row],[Theme]])</f>
        <v>12</v>
      </c>
      <c r="J18" s="38" t="s">
        <v>1585</v>
      </c>
      <c r="K18" s="35"/>
    </row>
    <row r="19" spans="1:11" ht="21" customHeight="1" x14ac:dyDescent="0.45">
      <c r="A19" s="29" t="s">
        <v>655</v>
      </c>
      <c r="B19" s="6" t="s">
        <v>1529</v>
      </c>
      <c r="C19" s="6" t="s">
        <v>469</v>
      </c>
      <c r="D19" s="8" t="s">
        <v>223</v>
      </c>
      <c r="E19" s="8" t="s">
        <v>212</v>
      </c>
      <c r="F19" s="10" t="s">
        <v>469</v>
      </c>
      <c r="G19" s="60" t="s">
        <v>8</v>
      </c>
      <c r="H19" s="30"/>
      <c r="I19" s="20">
        <f>SUM(Tabelle10911152394110114118127[Mentions])</f>
        <v>73</v>
      </c>
      <c r="J19" s="21"/>
      <c r="K19" s="35"/>
    </row>
    <row r="20" spans="1:11" ht="21" customHeight="1" x14ac:dyDescent="0.45">
      <c r="A20" s="29" t="s">
        <v>656</v>
      </c>
      <c r="B20" s="6" t="s">
        <v>1529</v>
      </c>
      <c r="C20" s="6" t="s">
        <v>469</v>
      </c>
      <c r="D20" s="8" t="s">
        <v>224</v>
      </c>
      <c r="E20" s="8" t="s">
        <v>211</v>
      </c>
      <c r="F20" s="10" t="s">
        <v>469</v>
      </c>
      <c r="G20" s="60" t="s">
        <v>8</v>
      </c>
      <c r="H20" s="30"/>
      <c r="I20" s="30"/>
      <c r="J20" s="30"/>
      <c r="K20" s="35"/>
    </row>
    <row r="21" spans="1:11" ht="21" customHeight="1" x14ac:dyDescent="0.45">
      <c r="A21" s="29" t="s">
        <v>657</v>
      </c>
      <c r="B21" s="6" t="s">
        <v>1576</v>
      </c>
      <c r="C21" s="6" t="s">
        <v>1582</v>
      </c>
      <c r="D21" s="8" t="s">
        <v>224</v>
      </c>
      <c r="E21" s="8" t="s">
        <v>211</v>
      </c>
      <c r="F21" s="10" t="s">
        <v>1586</v>
      </c>
      <c r="G21" s="60" t="s">
        <v>8</v>
      </c>
      <c r="H21" s="30"/>
      <c r="I21" s="30"/>
      <c r="J21" s="30"/>
      <c r="K21" s="35"/>
    </row>
    <row r="22" spans="1:11" ht="21" customHeight="1" x14ac:dyDescent="0.65">
      <c r="A22" s="29" t="s">
        <v>658</v>
      </c>
      <c r="B22" s="6" t="s">
        <v>1579</v>
      </c>
      <c r="C22" s="6" t="s">
        <v>469</v>
      </c>
      <c r="D22" s="8" t="s">
        <v>221</v>
      </c>
      <c r="E22" s="8" t="s">
        <v>211</v>
      </c>
      <c r="F22" s="10" t="s">
        <v>469</v>
      </c>
      <c r="G22" s="60" t="s">
        <v>8</v>
      </c>
      <c r="H22" s="30"/>
      <c r="I22" s="36" t="s">
        <v>452</v>
      </c>
      <c r="J22" s="36"/>
      <c r="K22" s="35"/>
    </row>
    <row r="23" spans="1:11" ht="21" customHeight="1" x14ac:dyDescent="0.55000000000000004">
      <c r="A23" s="29" t="s">
        <v>659</v>
      </c>
      <c r="B23" s="6" t="s">
        <v>1529</v>
      </c>
      <c r="C23" s="6" t="s">
        <v>469</v>
      </c>
      <c r="D23" s="8" t="s">
        <v>224</v>
      </c>
      <c r="E23" s="8" t="s">
        <v>211</v>
      </c>
      <c r="F23" s="10" t="s">
        <v>469</v>
      </c>
      <c r="G23" s="60" t="s">
        <v>8</v>
      </c>
      <c r="H23" s="30"/>
      <c r="I23" s="19" t="s">
        <v>5</v>
      </c>
      <c r="J23" s="19" t="s">
        <v>3</v>
      </c>
      <c r="K23" s="35"/>
    </row>
    <row r="24" spans="1:11" ht="21" customHeight="1" x14ac:dyDescent="0.45">
      <c r="A24" s="29" t="s">
        <v>660</v>
      </c>
      <c r="B24" s="6" t="s">
        <v>1568</v>
      </c>
      <c r="C24" s="6" t="s">
        <v>1583</v>
      </c>
      <c r="D24" s="8" t="s">
        <v>225</v>
      </c>
      <c r="E24" s="8" t="s">
        <v>212</v>
      </c>
      <c r="F24" s="10" t="s">
        <v>1583</v>
      </c>
      <c r="G24" s="60" t="s">
        <v>8</v>
      </c>
      <c r="H24" s="30"/>
      <c r="I24" s="8">
        <f>COUNTIF(Tabelle12265397112116120129[B - Theme],Tabelle10911111258796111115119128[[#This Row],[Theme]])</f>
        <v>16</v>
      </c>
      <c r="J24" s="26" t="s">
        <v>211</v>
      </c>
      <c r="K24" s="33"/>
    </row>
    <row r="25" spans="1:11" ht="21" customHeight="1" x14ac:dyDescent="0.45">
      <c r="A25" s="29" t="s">
        <v>661</v>
      </c>
      <c r="B25" s="6" t="s">
        <v>1580</v>
      </c>
      <c r="C25" s="6" t="s">
        <v>1585</v>
      </c>
      <c r="D25" s="8" t="s">
        <v>217</v>
      </c>
      <c r="E25" s="8" t="s">
        <v>214</v>
      </c>
      <c r="F25" s="10" t="s">
        <v>1587</v>
      </c>
      <c r="G25" s="60" t="s">
        <v>8</v>
      </c>
      <c r="H25" s="30"/>
      <c r="I25" s="8">
        <f>COUNTIF(Tabelle12265397112116120129[B - Theme],Tabelle10911111258796111115119128[[#This Row],[Theme]])</f>
        <v>16</v>
      </c>
      <c r="J25" s="26" t="s">
        <v>213</v>
      </c>
      <c r="K25" s="30"/>
    </row>
    <row r="26" spans="1:11" ht="21" customHeight="1" x14ac:dyDescent="0.45">
      <c r="A26" s="29" t="s">
        <v>662</v>
      </c>
      <c r="B26" s="6" t="s">
        <v>1573</v>
      </c>
      <c r="C26" s="6" t="s">
        <v>1584</v>
      </c>
      <c r="D26" s="8" t="s">
        <v>222</v>
      </c>
      <c r="E26" s="8" t="s">
        <v>214</v>
      </c>
      <c r="F26" s="10" t="s">
        <v>1584</v>
      </c>
      <c r="G26" s="60" t="s">
        <v>8</v>
      </c>
      <c r="H26" s="30"/>
      <c r="I26" s="8">
        <f>COUNTIF(Tabelle12265397112116120129[B - Theme],Tabelle10911111258796111115119128[[#This Row],[Theme]])</f>
        <v>14</v>
      </c>
      <c r="J26" s="26" t="s">
        <v>214</v>
      </c>
      <c r="K26" s="30"/>
    </row>
    <row r="27" spans="1:11" ht="21" customHeight="1" x14ac:dyDescent="0.45">
      <c r="A27" s="29" t="s">
        <v>663</v>
      </c>
      <c r="B27" s="6" t="s">
        <v>1568</v>
      </c>
      <c r="C27" s="6" t="s">
        <v>1583</v>
      </c>
      <c r="D27" s="8" t="s">
        <v>226</v>
      </c>
      <c r="E27" s="8" t="s">
        <v>215</v>
      </c>
      <c r="F27" s="10" t="s">
        <v>1583</v>
      </c>
      <c r="G27" s="60" t="s">
        <v>8</v>
      </c>
      <c r="H27" s="30"/>
      <c r="I27" s="8">
        <f>COUNTIF(Tabelle12265397112116120129[B - Theme],Tabelle10911111258796111115119128[[#This Row],[Theme]])</f>
        <v>13</v>
      </c>
      <c r="J27" s="26" t="s">
        <v>212</v>
      </c>
      <c r="K27" s="30"/>
    </row>
    <row r="28" spans="1:11" ht="21" customHeight="1" x14ac:dyDescent="0.45">
      <c r="A28" s="29" t="s">
        <v>664</v>
      </c>
      <c r="B28" s="6" t="s">
        <v>1573</v>
      </c>
      <c r="C28" s="6" t="s">
        <v>1584</v>
      </c>
      <c r="D28" s="8" t="s">
        <v>222</v>
      </c>
      <c r="E28" s="8" t="s">
        <v>214</v>
      </c>
      <c r="F28" s="10" t="s">
        <v>1584</v>
      </c>
      <c r="G28" s="60" t="s">
        <v>8</v>
      </c>
      <c r="H28" s="30"/>
      <c r="I28" s="8">
        <f>COUNTIF(Tabelle12265397112116120129[B - Theme],Tabelle10911111258796111115119128[[#This Row],[Theme]])</f>
        <v>10</v>
      </c>
      <c r="J28" s="26" t="s">
        <v>210</v>
      </c>
      <c r="K28" s="30"/>
    </row>
    <row r="29" spans="1:11" ht="21" customHeight="1" x14ac:dyDescent="0.45">
      <c r="A29" s="29" t="s">
        <v>665</v>
      </c>
      <c r="B29" s="6" t="s">
        <v>1576</v>
      </c>
      <c r="C29" s="6" t="s">
        <v>1582</v>
      </c>
      <c r="D29" s="8" t="s">
        <v>225</v>
      </c>
      <c r="E29" s="8" t="s">
        <v>212</v>
      </c>
      <c r="F29" s="10" t="s">
        <v>1586</v>
      </c>
      <c r="G29" s="60" t="s">
        <v>470</v>
      </c>
      <c r="H29" s="30"/>
      <c r="I29" s="8">
        <f>COUNTIF(Tabelle12265397112116120129[B - Theme],Tabelle10911111258796111115119128[[#This Row],[Theme]])</f>
        <v>4</v>
      </c>
      <c r="J29" s="26" t="s">
        <v>215</v>
      </c>
      <c r="K29" s="30"/>
    </row>
    <row r="30" spans="1:11" ht="21" customHeight="1" x14ac:dyDescent="0.45">
      <c r="A30" s="29" t="s">
        <v>666</v>
      </c>
      <c r="B30" s="6" t="s">
        <v>1529</v>
      </c>
      <c r="C30" s="6" t="s">
        <v>469</v>
      </c>
      <c r="D30" s="8" t="s">
        <v>224</v>
      </c>
      <c r="E30" s="8" t="s">
        <v>211</v>
      </c>
      <c r="F30" s="10" t="s">
        <v>469</v>
      </c>
      <c r="G30" s="60" t="s">
        <v>8</v>
      </c>
      <c r="H30" s="30"/>
      <c r="I30" s="24">
        <f>SUM(Tabelle10911111258796111115119128[Mentions])</f>
        <v>73</v>
      </c>
      <c r="J30" s="25"/>
      <c r="K30" s="30"/>
    </row>
    <row r="31" spans="1:11" ht="21" customHeight="1" x14ac:dyDescent="0.45">
      <c r="A31" s="29" t="s">
        <v>667</v>
      </c>
      <c r="B31" s="6" t="s">
        <v>1573</v>
      </c>
      <c r="C31" s="6" t="s">
        <v>1584</v>
      </c>
      <c r="D31" s="8" t="s">
        <v>222</v>
      </c>
      <c r="E31" s="8" t="s">
        <v>214</v>
      </c>
      <c r="F31" s="10" t="s">
        <v>1584</v>
      </c>
      <c r="G31" s="60" t="s">
        <v>8</v>
      </c>
      <c r="H31" s="30"/>
      <c r="I31" s="30"/>
      <c r="J31" s="30"/>
      <c r="K31" s="30"/>
    </row>
    <row r="32" spans="1:11" ht="21" customHeight="1" x14ac:dyDescent="0.45">
      <c r="A32" s="29" t="s">
        <v>668</v>
      </c>
      <c r="B32" s="6" t="s">
        <v>1529</v>
      </c>
      <c r="C32" s="6" t="s">
        <v>469</v>
      </c>
      <c r="D32" s="8" t="s">
        <v>224</v>
      </c>
      <c r="E32" s="8" t="s">
        <v>211</v>
      </c>
      <c r="F32" s="10" t="s">
        <v>469</v>
      </c>
      <c r="G32" s="60" t="s">
        <v>8</v>
      </c>
      <c r="H32" s="30"/>
      <c r="I32" s="30"/>
      <c r="J32" s="30"/>
      <c r="K32" s="30"/>
    </row>
    <row r="33" spans="1:11" ht="21" customHeight="1" x14ac:dyDescent="0.45">
      <c r="A33" s="29" t="s">
        <v>669</v>
      </c>
      <c r="B33" s="6" t="s">
        <v>1573</v>
      </c>
      <c r="C33" s="6" t="s">
        <v>1584</v>
      </c>
      <c r="D33" s="8" t="s">
        <v>222</v>
      </c>
      <c r="E33" s="8" t="s">
        <v>214</v>
      </c>
      <c r="F33" s="10" t="s">
        <v>1584</v>
      </c>
      <c r="G33" s="60" t="s">
        <v>8</v>
      </c>
      <c r="H33" s="30"/>
      <c r="I33" s="30"/>
      <c r="J33" s="30"/>
      <c r="K33" s="30"/>
    </row>
    <row r="34" spans="1:11" ht="21" customHeight="1" x14ac:dyDescent="0.45">
      <c r="A34" s="29" t="s">
        <v>670</v>
      </c>
      <c r="B34" s="6" t="s">
        <v>1581</v>
      </c>
      <c r="C34" s="6" t="s">
        <v>1584</v>
      </c>
      <c r="D34" s="8" t="s">
        <v>227</v>
      </c>
      <c r="E34" s="8" t="s">
        <v>212</v>
      </c>
      <c r="F34" s="10" t="s">
        <v>1584</v>
      </c>
      <c r="G34" s="60" t="s">
        <v>470</v>
      </c>
      <c r="H34" s="30"/>
      <c r="I34" s="30"/>
      <c r="J34" s="30"/>
      <c r="K34" s="30"/>
    </row>
    <row r="35" spans="1:11" ht="21" customHeight="1" x14ac:dyDescent="0.45">
      <c r="A35" s="29" t="s">
        <v>671</v>
      </c>
      <c r="B35" s="6" t="s">
        <v>1529</v>
      </c>
      <c r="C35" s="6" t="s">
        <v>469</v>
      </c>
      <c r="D35" s="8" t="s">
        <v>224</v>
      </c>
      <c r="E35" s="8" t="s">
        <v>211</v>
      </c>
      <c r="F35" s="10" t="s">
        <v>469</v>
      </c>
      <c r="G35" s="60" t="s">
        <v>8</v>
      </c>
      <c r="H35" s="30"/>
      <c r="I35" s="30"/>
      <c r="J35" s="30"/>
      <c r="K35" s="30"/>
    </row>
    <row r="36" spans="1:11" ht="21" customHeight="1" x14ac:dyDescent="0.45">
      <c r="A36" s="29" t="s">
        <v>672</v>
      </c>
      <c r="B36" s="6" t="s">
        <v>1577</v>
      </c>
      <c r="C36" s="6" t="s">
        <v>1583</v>
      </c>
      <c r="D36" s="8" t="s">
        <v>220</v>
      </c>
      <c r="E36" s="8" t="s">
        <v>213</v>
      </c>
      <c r="F36" s="10" t="s">
        <v>1583</v>
      </c>
      <c r="G36" s="60" t="s">
        <v>8</v>
      </c>
      <c r="H36" s="30"/>
      <c r="I36" s="30"/>
      <c r="J36" s="30"/>
      <c r="K36" s="30"/>
    </row>
    <row r="37" spans="1:11" ht="21" customHeight="1" x14ac:dyDescent="0.45">
      <c r="A37" s="29" t="s">
        <v>673</v>
      </c>
      <c r="B37" s="6" t="s">
        <v>1579</v>
      </c>
      <c r="C37" s="6" t="s">
        <v>469</v>
      </c>
      <c r="D37" s="8" t="s">
        <v>221</v>
      </c>
      <c r="E37" s="8" t="s">
        <v>211</v>
      </c>
      <c r="F37" s="10" t="s">
        <v>469</v>
      </c>
      <c r="G37" s="60" t="s">
        <v>8</v>
      </c>
      <c r="H37" s="30"/>
      <c r="I37" s="30"/>
      <c r="J37" s="30"/>
      <c r="K37" s="30"/>
    </row>
    <row r="38" spans="1:11" ht="21" customHeight="1" x14ac:dyDescent="0.45">
      <c r="A38" s="29" t="s">
        <v>674</v>
      </c>
      <c r="B38" s="6" t="s">
        <v>1573</v>
      </c>
      <c r="C38" s="6" t="s">
        <v>1584</v>
      </c>
      <c r="D38" s="8" t="s">
        <v>222</v>
      </c>
      <c r="E38" s="8" t="s">
        <v>214</v>
      </c>
      <c r="F38" s="10" t="s">
        <v>1584</v>
      </c>
      <c r="G38" s="60" t="s">
        <v>8</v>
      </c>
      <c r="H38" s="30"/>
      <c r="I38" s="30"/>
      <c r="J38" s="30"/>
      <c r="K38" s="30"/>
    </row>
    <row r="39" spans="1:11" ht="21" customHeight="1" x14ac:dyDescent="0.45">
      <c r="A39" s="29" t="s">
        <v>675</v>
      </c>
      <c r="B39" s="6" t="s">
        <v>1576</v>
      </c>
      <c r="C39" s="6" t="s">
        <v>1582</v>
      </c>
      <c r="D39" s="8" t="s">
        <v>225</v>
      </c>
      <c r="E39" s="8" t="s">
        <v>212</v>
      </c>
      <c r="F39" s="10" t="s">
        <v>1586</v>
      </c>
      <c r="G39" s="60" t="s">
        <v>8</v>
      </c>
      <c r="H39" s="30"/>
      <c r="I39" s="30"/>
      <c r="J39" s="30"/>
      <c r="K39" s="30"/>
    </row>
    <row r="40" spans="1:11" ht="21" customHeight="1" x14ac:dyDescent="0.45">
      <c r="A40" s="29" t="s">
        <v>119</v>
      </c>
      <c r="B40" s="6" t="s">
        <v>1577</v>
      </c>
      <c r="C40" s="6" t="s">
        <v>1583</v>
      </c>
      <c r="D40" s="8" t="s">
        <v>220</v>
      </c>
      <c r="E40" s="8" t="s">
        <v>213</v>
      </c>
      <c r="F40" s="10" t="s">
        <v>1583</v>
      </c>
      <c r="G40" s="60" t="s">
        <v>8</v>
      </c>
      <c r="H40" s="30"/>
      <c r="I40" s="30"/>
      <c r="J40" s="30"/>
      <c r="K40" s="30"/>
    </row>
    <row r="41" spans="1:11" ht="21" customHeight="1" x14ac:dyDescent="0.45">
      <c r="A41" s="29" t="s">
        <v>676</v>
      </c>
      <c r="B41" s="6" t="s">
        <v>1529</v>
      </c>
      <c r="C41" s="6" t="s">
        <v>469</v>
      </c>
      <c r="D41" s="8" t="s">
        <v>224</v>
      </c>
      <c r="E41" s="8" t="s">
        <v>211</v>
      </c>
      <c r="F41" s="10" t="s">
        <v>469</v>
      </c>
      <c r="G41" s="60" t="s">
        <v>8</v>
      </c>
      <c r="H41" s="30"/>
      <c r="I41" s="30"/>
      <c r="J41" s="30"/>
      <c r="K41" s="30"/>
    </row>
    <row r="42" spans="1:11" ht="21" customHeight="1" x14ac:dyDescent="0.45">
      <c r="A42" s="29" t="s">
        <v>677</v>
      </c>
      <c r="B42" s="6" t="s">
        <v>1577</v>
      </c>
      <c r="C42" s="6" t="s">
        <v>1583</v>
      </c>
      <c r="D42" s="8" t="s">
        <v>220</v>
      </c>
      <c r="E42" s="8" t="s">
        <v>213</v>
      </c>
      <c r="F42" s="10" t="s">
        <v>1583</v>
      </c>
      <c r="G42" s="60" t="s">
        <v>8</v>
      </c>
      <c r="H42" s="30"/>
      <c r="I42" s="30"/>
      <c r="J42" s="30"/>
      <c r="K42" s="30"/>
    </row>
    <row r="43" spans="1:11" ht="21" customHeight="1" x14ac:dyDescent="0.45">
      <c r="A43" s="29" t="s">
        <v>678</v>
      </c>
      <c r="B43" s="6" t="s">
        <v>591</v>
      </c>
      <c r="C43" s="6" t="s">
        <v>1582</v>
      </c>
      <c r="D43" s="8" t="s">
        <v>228</v>
      </c>
      <c r="E43" s="8" t="s">
        <v>215</v>
      </c>
      <c r="F43" s="10" t="s">
        <v>1586</v>
      </c>
      <c r="G43" s="60" t="s">
        <v>8</v>
      </c>
      <c r="H43" s="30"/>
      <c r="I43" s="30"/>
      <c r="J43" s="30"/>
      <c r="K43" s="30"/>
    </row>
    <row r="44" spans="1:11" ht="21" customHeight="1" x14ac:dyDescent="0.45">
      <c r="A44" s="29" t="s">
        <v>679</v>
      </c>
      <c r="B44" s="6" t="s">
        <v>591</v>
      </c>
      <c r="C44" s="6" t="s">
        <v>1582</v>
      </c>
      <c r="D44" s="8" t="s">
        <v>228</v>
      </c>
      <c r="E44" s="8" t="s">
        <v>215</v>
      </c>
      <c r="F44" s="10" t="s">
        <v>1586</v>
      </c>
      <c r="G44" s="60" t="s">
        <v>8</v>
      </c>
      <c r="H44" s="30"/>
      <c r="I44" s="30"/>
      <c r="J44" s="30"/>
      <c r="K44" s="30"/>
    </row>
    <row r="45" spans="1:11" ht="21" customHeight="1" x14ac:dyDescent="0.45">
      <c r="A45" s="29" t="s">
        <v>680</v>
      </c>
      <c r="B45" s="6" t="s">
        <v>1576</v>
      </c>
      <c r="C45" s="6" t="s">
        <v>1582</v>
      </c>
      <c r="D45" s="8" t="s">
        <v>222</v>
      </c>
      <c r="E45" s="8" t="s">
        <v>214</v>
      </c>
      <c r="F45" s="10" t="s">
        <v>1586</v>
      </c>
      <c r="G45" s="60" t="s">
        <v>8</v>
      </c>
      <c r="H45" s="30"/>
      <c r="I45" s="30"/>
      <c r="J45" s="30"/>
      <c r="K45" s="30"/>
    </row>
    <row r="46" spans="1:11" ht="21" customHeight="1" x14ac:dyDescent="0.45">
      <c r="A46" s="29" t="s">
        <v>681</v>
      </c>
      <c r="B46" s="6" t="s">
        <v>1581</v>
      </c>
      <c r="C46" s="6" t="s">
        <v>1584</v>
      </c>
      <c r="D46" s="8" t="s">
        <v>227</v>
      </c>
      <c r="E46" s="8" t="s">
        <v>212</v>
      </c>
      <c r="F46" s="10" t="s">
        <v>1584</v>
      </c>
      <c r="G46" s="60" t="s">
        <v>8</v>
      </c>
      <c r="H46" s="30"/>
      <c r="I46" s="30"/>
      <c r="J46" s="30"/>
      <c r="K46" s="30"/>
    </row>
    <row r="47" spans="1:11" ht="21" customHeight="1" x14ac:dyDescent="0.45">
      <c r="A47" s="29" t="s">
        <v>682</v>
      </c>
      <c r="B47" s="6" t="s">
        <v>1581</v>
      </c>
      <c r="C47" s="6" t="s">
        <v>1584</v>
      </c>
      <c r="D47" s="8" t="s">
        <v>225</v>
      </c>
      <c r="E47" s="8" t="s">
        <v>212</v>
      </c>
      <c r="F47" s="10" t="s">
        <v>1584</v>
      </c>
      <c r="G47" s="60" t="s">
        <v>8</v>
      </c>
      <c r="H47" s="30"/>
      <c r="I47" s="30"/>
      <c r="J47" s="30"/>
      <c r="K47" s="30"/>
    </row>
    <row r="48" spans="1:11" ht="21" customHeight="1" x14ac:dyDescent="0.45">
      <c r="A48" s="29" t="s">
        <v>683</v>
      </c>
      <c r="B48" s="6" t="s">
        <v>1573</v>
      </c>
      <c r="C48" s="6" t="s">
        <v>1584</v>
      </c>
      <c r="D48" s="8" t="s">
        <v>222</v>
      </c>
      <c r="E48" s="8" t="s">
        <v>214</v>
      </c>
      <c r="F48" s="10" t="s">
        <v>1584</v>
      </c>
      <c r="G48" s="60" t="s">
        <v>8</v>
      </c>
      <c r="H48" s="30"/>
      <c r="I48" s="30"/>
      <c r="J48" s="30"/>
      <c r="K48" s="30"/>
    </row>
    <row r="49" spans="1:11" ht="21" customHeight="1" x14ac:dyDescent="0.45">
      <c r="A49" s="29" t="s">
        <v>684</v>
      </c>
      <c r="B49" s="6" t="s">
        <v>1581</v>
      </c>
      <c r="C49" s="6" t="s">
        <v>1584</v>
      </c>
      <c r="D49" s="8" t="s">
        <v>227</v>
      </c>
      <c r="E49" s="8" t="s">
        <v>212</v>
      </c>
      <c r="F49" s="10" t="s">
        <v>1584</v>
      </c>
      <c r="G49" s="60" t="s">
        <v>8</v>
      </c>
      <c r="H49" s="30"/>
      <c r="I49" s="30"/>
      <c r="J49" s="30"/>
      <c r="K49" s="30"/>
    </row>
    <row r="50" spans="1:11" ht="21" customHeight="1" x14ac:dyDescent="0.45">
      <c r="A50" s="29" t="s">
        <v>685</v>
      </c>
      <c r="B50" s="6" t="s">
        <v>1568</v>
      </c>
      <c r="C50" s="6" t="s">
        <v>1583</v>
      </c>
      <c r="D50" s="8" t="s">
        <v>228</v>
      </c>
      <c r="E50" s="8" t="s">
        <v>215</v>
      </c>
      <c r="F50" s="10" t="s">
        <v>1583</v>
      </c>
      <c r="G50" s="60" t="s">
        <v>8</v>
      </c>
      <c r="H50" s="30"/>
      <c r="I50" s="30"/>
      <c r="J50" s="30"/>
      <c r="K50" s="30"/>
    </row>
    <row r="51" spans="1:11" ht="21" customHeight="1" x14ac:dyDescent="0.45">
      <c r="A51" s="29" t="s">
        <v>686</v>
      </c>
      <c r="B51" s="6" t="s">
        <v>1529</v>
      </c>
      <c r="C51" s="6" t="s">
        <v>469</v>
      </c>
      <c r="D51" s="8" t="s">
        <v>224</v>
      </c>
      <c r="E51" s="8" t="s">
        <v>211</v>
      </c>
      <c r="F51" s="10" t="s">
        <v>469</v>
      </c>
      <c r="G51" s="60" t="s">
        <v>8</v>
      </c>
      <c r="H51" s="30"/>
      <c r="I51" s="30"/>
      <c r="J51" s="30"/>
      <c r="K51" s="30"/>
    </row>
    <row r="52" spans="1:11" ht="21" customHeight="1" x14ac:dyDescent="0.45">
      <c r="A52" s="29" t="s">
        <v>687</v>
      </c>
      <c r="B52" s="6" t="s">
        <v>1568</v>
      </c>
      <c r="C52" s="6" t="s">
        <v>1583</v>
      </c>
      <c r="D52" s="8" t="s">
        <v>220</v>
      </c>
      <c r="E52" s="8" t="s">
        <v>213</v>
      </c>
      <c r="F52" s="10" t="s">
        <v>1583</v>
      </c>
      <c r="G52" s="60" t="s">
        <v>8</v>
      </c>
      <c r="H52" s="30"/>
      <c r="I52" s="30"/>
      <c r="J52" s="30"/>
      <c r="K52" s="30"/>
    </row>
    <row r="53" spans="1:11" ht="21" customHeight="1" x14ac:dyDescent="0.45">
      <c r="A53" s="29" t="s">
        <v>688</v>
      </c>
      <c r="B53" s="6" t="s">
        <v>1574</v>
      </c>
      <c r="C53" s="6" t="s">
        <v>1585</v>
      </c>
      <c r="D53" s="8" t="s">
        <v>217</v>
      </c>
      <c r="E53" s="8" t="s">
        <v>210</v>
      </c>
      <c r="F53" s="10" t="s">
        <v>1587</v>
      </c>
      <c r="G53" s="60" t="s">
        <v>8</v>
      </c>
      <c r="H53" s="30"/>
      <c r="I53" s="30"/>
      <c r="J53" s="30"/>
      <c r="K53" s="30"/>
    </row>
    <row r="54" spans="1:11" ht="21" customHeight="1" x14ac:dyDescent="0.45">
      <c r="A54" s="29" t="s">
        <v>689</v>
      </c>
      <c r="B54" s="6" t="s">
        <v>1575</v>
      </c>
      <c r="C54" s="6" t="s">
        <v>1585</v>
      </c>
      <c r="D54" s="8" t="s">
        <v>218</v>
      </c>
      <c r="E54" s="8" t="s">
        <v>210</v>
      </c>
      <c r="F54" s="10" t="s">
        <v>1587</v>
      </c>
      <c r="G54" s="60" t="s">
        <v>8</v>
      </c>
      <c r="H54" s="30"/>
      <c r="I54" s="30"/>
      <c r="J54" s="30"/>
      <c r="K54" s="30"/>
    </row>
    <row r="55" spans="1:11" ht="21" customHeight="1" x14ac:dyDescent="0.45">
      <c r="A55" s="29" t="s">
        <v>690</v>
      </c>
      <c r="B55" s="6" t="s">
        <v>1576</v>
      </c>
      <c r="C55" s="6" t="s">
        <v>1582</v>
      </c>
      <c r="D55" s="8" t="s">
        <v>218</v>
      </c>
      <c r="E55" s="8" t="s">
        <v>210</v>
      </c>
      <c r="F55" s="10" t="s">
        <v>1586</v>
      </c>
      <c r="G55" s="60" t="s">
        <v>470</v>
      </c>
      <c r="H55" s="30"/>
      <c r="I55" s="30"/>
      <c r="J55" s="30"/>
      <c r="K55" s="30"/>
    </row>
    <row r="56" spans="1:11" ht="21" customHeight="1" x14ac:dyDescent="0.45">
      <c r="A56" s="29" t="s">
        <v>691</v>
      </c>
      <c r="B56" s="6" t="s">
        <v>1574</v>
      </c>
      <c r="C56" s="6" t="s">
        <v>1585</v>
      </c>
      <c r="D56" s="8" t="s">
        <v>229</v>
      </c>
      <c r="E56" s="8" t="s">
        <v>210</v>
      </c>
      <c r="F56" s="10" t="s">
        <v>1587</v>
      </c>
      <c r="G56" s="60" t="s">
        <v>8</v>
      </c>
      <c r="H56" s="30"/>
      <c r="I56" s="30"/>
      <c r="J56" s="30"/>
      <c r="K56" s="30"/>
    </row>
    <row r="57" spans="1:11" ht="21" customHeight="1" x14ac:dyDescent="0.45">
      <c r="A57" s="29" t="s">
        <v>692</v>
      </c>
      <c r="B57" s="6" t="s">
        <v>1568</v>
      </c>
      <c r="C57" s="6" t="s">
        <v>1583</v>
      </c>
      <c r="D57" s="8" t="s">
        <v>220</v>
      </c>
      <c r="E57" s="8" t="s">
        <v>213</v>
      </c>
      <c r="F57" s="10" t="s">
        <v>1583</v>
      </c>
      <c r="G57" s="60" t="s">
        <v>8</v>
      </c>
      <c r="H57" s="30"/>
      <c r="I57" s="30"/>
      <c r="J57" s="30"/>
      <c r="K57" s="30"/>
    </row>
    <row r="58" spans="1:11" ht="21" customHeight="1" x14ac:dyDescent="0.45">
      <c r="A58" s="29" t="s">
        <v>693</v>
      </c>
      <c r="B58" s="6" t="s">
        <v>1576</v>
      </c>
      <c r="C58" s="6" t="s">
        <v>1582</v>
      </c>
      <c r="D58" s="8" t="s">
        <v>219</v>
      </c>
      <c r="E58" s="8" t="s">
        <v>213</v>
      </c>
      <c r="F58" s="10" t="s">
        <v>1586</v>
      </c>
      <c r="G58" s="60" t="s">
        <v>8</v>
      </c>
      <c r="H58" s="30"/>
      <c r="I58" s="30"/>
      <c r="J58" s="30"/>
      <c r="K58" s="30"/>
    </row>
    <row r="59" spans="1:11" ht="21" customHeight="1" x14ac:dyDescent="0.45">
      <c r="A59" s="29" t="s">
        <v>694</v>
      </c>
      <c r="B59" s="6" t="s">
        <v>1579</v>
      </c>
      <c r="C59" s="6" t="s">
        <v>469</v>
      </c>
      <c r="D59" s="8" t="s">
        <v>217</v>
      </c>
      <c r="E59" s="8" t="s">
        <v>214</v>
      </c>
      <c r="F59" s="10" t="s">
        <v>469</v>
      </c>
      <c r="G59" s="60" t="s">
        <v>8</v>
      </c>
      <c r="H59" s="30"/>
      <c r="I59" s="30"/>
      <c r="J59" s="30"/>
      <c r="K59" s="30"/>
    </row>
    <row r="60" spans="1:11" ht="21" customHeight="1" x14ac:dyDescent="0.45">
      <c r="A60" s="29" t="s">
        <v>695</v>
      </c>
      <c r="B60" s="6" t="s">
        <v>1529</v>
      </c>
      <c r="C60" s="6" t="s">
        <v>469</v>
      </c>
      <c r="D60" s="8" t="s">
        <v>224</v>
      </c>
      <c r="E60" s="8" t="s">
        <v>211</v>
      </c>
      <c r="F60" s="10" t="s">
        <v>469</v>
      </c>
      <c r="G60" s="60" t="s">
        <v>8</v>
      </c>
      <c r="H60" s="30"/>
      <c r="I60" s="30"/>
      <c r="J60" s="30"/>
      <c r="K60" s="30"/>
    </row>
    <row r="61" spans="1:11" ht="21" customHeight="1" x14ac:dyDescent="0.45">
      <c r="A61" s="29" t="s">
        <v>696</v>
      </c>
      <c r="B61" s="6" t="s">
        <v>1529</v>
      </c>
      <c r="C61" s="6" t="s">
        <v>469</v>
      </c>
      <c r="D61" s="8" t="s">
        <v>227</v>
      </c>
      <c r="E61" s="8" t="s">
        <v>212</v>
      </c>
      <c r="F61" s="10" t="s">
        <v>469</v>
      </c>
      <c r="G61" s="60" t="s">
        <v>8</v>
      </c>
      <c r="H61" s="30"/>
      <c r="I61" s="30"/>
      <c r="J61" s="30"/>
      <c r="K61" s="30"/>
    </row>
    <row r="62" spans="1:11" ht="21" customHeight="1" x14ac:dyDescent="0.45">
      <c r="A62" s="29" t="s">
        <v>697</v>
      </c>
      <c r="B62" s="6" t="s">
        <v>1576</v>
      </c>
      <c r="C62" s="6" t="s">
        <v>1582</v>
      </c>
      <c r="D62" s="8" t="s">
        <v>225</v>
      </c>
      <c r="E62" s="8" t="s">
        <v>212</v>
      </c>
      <c r="F62" s="10" t="s">
        <v>1586</v>
      </c>
      <c r="G62" s="60" t="s">
        <v>8</v>
      </c>
      <c r="H62" s="30"/>
      <c r="I62" s="30"/>
      <c r="J62" s="30"/>
      <c r="K62" s="30"/>
    </row>
    <row r="63" spans="1:11" ht="21" customHeight="1" x14ac:dyDescent="0.45">
      <c r="A63" s="29" t="s">
        <v>698</v>
      </c>
      <c r="B63" s="6" t="s">
        <v>1575</v>
      </c>
      <c r="C63" s="6" t="s">
        <v>1585</v>
      </c>
      <c r="D63" s="8" t="s">
        <v>230</v>
      </c>
      <c r="E63" s="8" t="s">
        <v>210</v>
      </c>
      <c r="F63" s="10" t="s">
        <v>1587</v>
      </c>
      <c r="G63" s="60" t="s">
        <v>8</v>
      </c>
      <c r="H63" s="30"/>
      <c r="I63" s="30"/>
      <c r="J63" s="30"/>
      <c r="K63" s="30"/>
    </row>
    <row r="64" spans="1:11" ht="21" customHeight="1" x14ac:dyDescent="0.45">
      <c r="A64" s="29" t="s">
        <v>699</v>
      </c>
      <c r="B64" s="6" t="s">
        <v>1574</v>
      </c>
      <c r="C64" s="6" t="s">
        <v>1585</v>
      </c>
      <c r="D64" s="8" t="s">
        <v>230</v>
      </c>
      <c r="E64" s="8" t="s">
        <v>210</v>
      </c>
      <c r="F64" s="10" t="s">
        <v>1587</v>
      </c>
      <c r="G64" s="60" t="s">
        <v>8</v>
      </c>
      <c r="H64" s="30"/>
      <c r="I64" s="30"/>
      <c r="J64" s="30"/>
      <c r="K64" s="30"/>
    </row>
    <row r="65" spans="1:11" ht="21" customHeight="1" x14ac:dyDescent="0.45">
      <c r="A65" s="29" t="s">
        <v>700</v>
      </c>
      <c r="B65" s="6" t="s">
        <v>1581</v>
      </c>
      <c r="C65" s="6" t="s">
        <v>1584</v>
      </c>
      <c r="D65" s="8" t="s">
        <v>227</v>
      </c>
      <c r="E65" s="8" t="s">
        <v>212</v>
      </c>
      <c r="F65" s="10" t="s">
        <v>1584</v>
      </c>
      <c r="G65" s="60" t="s">
        <v>8</v>
      </c>
      <c r="H65" s="30"/>
      <c r="I65" s="30"/>
      <c r="J65" s="30"/>
      <c r="K65" s="30"/>
    </row>
    <row r="66" spans="1:11" ht="21" customHeight="1" x14ac:dyDescent="0.45">
      <c r="A66" s="29" t="s">
        <v>701</v>
      </c>
      <c r="B66" s="6" t="s">
        <v>1575</v>
      </c>
      <c r="C66" s="6" t="s">
        <v>1585</v>
      </c>
      <c r="D66" s="8" t="s">
        <v>231</v>
      </c>
      <c r="E66" s="8" t="s">
        <v>213</v>
      </c>
      <c r="F66" s="10" t="s">
        <v>1587</v>
      </c>
      <c r="G66" s="60" t="s">
        <v>8</v>
      </c>
      <c r="H66" s="30"/>
      <c r="I66" s="30"/>
      <c r="J66" s="30"/>
      <c r="K66" s="30"/>
    </row>
    <row r="67" spans="1:11" ht="21" customHeight="1" x14ac:dyDescent="0.45">
      <c r="A67" s="29" t="s">
        <v>702</v>
      </c>
      <c r="B67" s="6" t="s">
        <v>1576</v>
      </c>
      <c r="C67" s="6" t="s">
        <v>1582</v>
      </c>
      <c r="D67" s="8" t="s">
        <v>231</v>
      </c>
      <c r="E67" s="8" t="s">
        <v>213</v>
      </c>
      <c r="F67" s="10" t="s">
        <v>1586</v>
      </c>
      <c r="G67" s="60" t="s">
        <v>8</v>
      </c>
      <c r="H67" s="30"/>
      <c r="I67" s="30"/>
      <c r="J67" s="30"/>
      <c r="K67" s="30"/>
    </row>
    <row r="68" spans="1:11" ht="21" customHeight="1" x14ac:dyDescent="0.45">
      <c r="A68" s="29" t="s">
        <v>703</v>
      </c>
      <c r="B68" s="6" t="s">
        <v>1574</v>
      </c>
      <c r="C68" s="6" t="s">
        <v>1585</v>
      </c>
      <c r="D68" s="8" t="s">
        <v>216</v>
      </c>
      <c r="E68" s="8" t="s">
        <v>210</v>
      </c>
      <c r="F68" s="10" t="s">
        <v>1587</v>
      </c>
      <c r="G68" s="60" t="s">
        <v>8</v>
      </c>
      <c r="H68" s="30"/>
      <c r="I68" s="30"/>
      <c r="J68" s="30"/>
      <c r="K68" s="30"/>
    </row>
    <row r="69" spans="1:11" ht="21" customHeight="1" x14ac:dyDescent="0.45">
      <c r="A69" s="29" t="s">
        <v>704</v>
      </c>
      <c r="B69" s="6" t="s">
        <v>1529</v>
      </c>
      <c r="C69" s="6" t="s">
        <v>469</v>
      </c>
      <c r="D69" s="8" t="s">
        <v>224</v>
      </c>
      <c r="E69" s="8" t="s">
        <v>211</v>
      </c>
      <c r="F69" s="10" t="s">
        <v>469</v>
      </c>
      <c r="G69" s="60" t="s">
        <v>8</v>
      </c>
      <c r="H69" s="30"/>
      <c r="I69" s="30"/>
      <c r="J69" s="30"/>
      <c r="K69" s="30"/>
    </row>
    <row r="70" spans="1:11" ht="21" customHeight="1" x14ac:dyDescent="0.45">
      <c r="A70" s="29" t="s">
        <v>705</v>
      </c>
      <c r="B70" s="6" t="s">
        <v>1568</v>
      </c>
      <c r="C70" s="6" t="s">
        <v>1583</v>
      </c>
      <c r="D70" s="8" t="s">
        <v>220</v>
      </c>
      <c r="E70" s="8" t="s">
        <v>213</v>
      </c>
      <c r="F70" s="10" t="s">
        <v>1583</v>
      </c>
      <c r="G70" s="60" t="s">
        <v>8</v>
      </c>
      <c r="H70" s="30"/>
      <c r="I70" s="30"/>
      <c r="J70" s="30"/>
      <c r="K70" s="30"/>
    </row>
    <row r="71" spans="1:11" ht="21" customHeight="1" x14ac:dyDescent="0.45">
      <c r="A71" s="29" t="s">
        <v>706</v>
      </c>
      <c r="B71" s="6" t="s">
        <v>1568</v>
      </c>
      <c r="C71" s="6" t="s">
        <v>1583</v>
      </c>
      <c r="D71" s="8" t="s">
        <v>220</v>
      </c>
      <c r="E71" s="8" t="s">
        <v>213</v>
      </c>
      <c r="F71" s="10" t="s">
        <v>1583</v>
      </c>
      <c r="G71" s="60" t="s">
        <v>470</v>
      </c>
      <c r="H71" s="30"/>
      <c r="I71" s="30"/>
      <c r="J71" s="30"/>
      <c r="K71" s="30"/>
    </row>
    <row r="72" spans="1:11" ht="21" customHeight="1" x14ac:dyDescent="0.45">
      <c r="A72" s="29" t="s">
        <v>707</v>
      </c>
      <c r="B72" s="6" t="s">
        <v>1568</v>
      </c>
      <c r="C72" s="6" t="s">
        <v>1583</v>
      </c>
      <c r="D72" s="8" t="s">
        <v>224</v>
      </c>
      <c r="E72" s="8" t="s">
        <v>211</v>
      </c>
      <c r="F72" s="10" t="s">
        <v>1583</v>
      </c>
      <c r="G72" s="60" t="s">
        <v>8</v>
      </c>
      <c r="H72" s="30"/>
      <c r="I72" s="30"/>
      <c r="J72" s="30"/>
      <c r="K72" s="30"/>
    </row>
    <row r="73" spans="1:11" ht="21" customHeight="1" x14ac:dyDescent="0.45">
      <c r="A73" s="29" t="s">
        <v>708</v>
      </c>
      <c r="B73" s="6" t="s">
        <v>1568</v>
      </c>
      <c r="C73" s="6" t="s">
        <v>1583</v>
      </c>
      <c r="D73" s="8" t="s">
        <v>225</v>
      </c>
      <c r="E73" s="8" t="s">
        <v>212</v>
      </c>
      <c r="F73" s="10" t="s">
        <v>1583</v>
      </c>
      <c r="G73" s="60" t="s">
        <v>8</v>
      </c>
      <c r="H73" s="30"/>
      <c r="I73" s="30"/>
      <c r="J73" s="30"/>
      <c r="K73" s="30"/>
    </row>
    <row r="74" spans="1:11" ht="21" customHeight="1" x14ac:dyDescent="0.45">
      <c r="A74" s="29" t="s">
        <v>709</v>
      </c>
      <c r="B74" s="6" t="s">
        <v>1568</v>
      </c>
      <c r="C74" s="6" t="s">
        <v>1583</v>
      </c>
      <c r="D74" s="8" t="s">
        <v>223</v>
      </c>
      <c r="E74" s="8" t="s">
        <v>212</v>
      </c>
      <c r="F74" s="10" t="s">
        <v>1583</v>
      </c>
      <c r="G74" s="60" t="s">
        <v>8</v>
      </c>
      <c r="H74" s="30"/>
      <c r="I74" s="30"/>
      <c r="J74" s="30"/>
      <c r="K74" s="30"/>
    </row>
    <row r="75" spans="1:11" ht="21" customHeight="1" x14ac:dyDescent="0.45">
      <c r="A75" s="29" t="s">
        <v>710</v>
      </c>
      <c r="B75" s="6" t="s">
        <v>1579</v>
      </c>
      <c r="C75" s="6" t="s">
        <v>469</v>
      </c>
      <c r="D75" s="8" t="s">
        <v>221</v>
      </c>
      <c r="E75" s="8" t="s">
        <v>211</v>
      </c>
      <c r="F75" s="10" t="s">
        <v>469</v>
      </c>
      <c r="G75" s="60" t="s">
        <v>8</v>
      </c>
      <c r="H75" s="30"/>
      <c r="I75" s="30"/>
      <c r="J75" s="30"/>
      <c r="K75" s="30"/>
    </row>
    <row r="76" spans="1:11" ht="21" customHeight="1" x14ac:dyDescent="0.45">
      <c r="A76" s="29" t="s">
        <v>711</v>
      </c>
      <c r="B76" s="6" t="s">
        <v>1568</v>
      </c>
      <c r="C76" s="6" t="s">
        <v>1583</v>
      </c>
      <c r="D76" s="8" t="s">
        <v>219</v>
      </c>
      <c r="E76" s="8" t="s">
        <v>213</v>
      </c>
      <c r="F76" s="10" t="s">
        <v>1583</v>
      </c>
      <c r="G76" s="60" t="s">
        <v>8</v>
      </c>
      <c r="H76" s="30"/>
      <c r="I76" s="30"/>
      <c r="J76" s="30"/>
      <c r="K76" s="30"/>
    </row>
    <row r="77" spans="1:11" ht="21" customHeight="1" x14ac:dyDescent="0.45"/>
  </sheetData>
  <mergeCells count="3">
    <mergeCell ref="B2:C2"/>
    <mergeCell ref="D2:E2"/>
    <mergeCell ref="I12:J12"/>
  </mergeCells>
  <pageMargins left="0.7" right="0.7" top="0.78740157499999996" bottom="0.78740157499999996"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509EA-8DE4-40CE-A4C5-CF904E719CAC}">
  <dimension ref="A1:K77"/>
  <sheetViews>
    <sheetView zoomScale="70" zoomScaleNormal="70" workbookViewId="0">
      <selection activeCell="A4" sqref="A4"/>
    </sheetView>
  </sheetViews>
  <sheetFormatPr baseColWidth="10" defaultRowHeight="14.25" x14ac:dyDescent="0.45"/>
  <cols>
    <col min="1" max="1" width="43.46484375" customWidth="1"/>
    <col min="2" max="2" width="25.265625" customWidth="1"/>
    <col min="3" max="3" width="30.796875" customWidth="1"/>
    <col min="4" max="4" width="20.53125" customWidth="1"/>
    <col min="5" max="5" width="27.59765625" customWidth="1"/>
    <col min="6" max="6" width="30.9296875" customWidth="1"/>
    <col min="7" max="7" width="14.06640625" customWidth="1"/>
    <col min="9" max="9" width="14.06640625" customWidth="1"/>
    <col min="10" max="10" width="45.796875" customWidth="1"/>
  </cols>
  <sheetData>
    <row r="1" spans="1:11" ht="54" customHeight="1" x14ac:dyDescent="0.45">
      <c r="A1" s="37" t="s">
        <v>622</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712</v>
      </c>
      <c r="B4" s="6" t="s">
        <v>1567</v>
      </c>
      <c r="C4" s="6" t="s">
        <v>1571</v>
      </c>
      <c r="D4" s="8" t="s">
        <v>232</v>
      </c>
      <c r="E4" s="8" t="s">
        <v>233</v>
      </c>
      <c r="F4" s="10" t="s">
        <v>233</v>
      </c>
      <c r="G4" s="10" t="s">
        <v>8</v>
      </c>
      <c r="H4" s="30"/>
      <c r="I4" s="43">
        <f>COUNTIF(Tabelle12265397112116120129133[[#All],[Merged Theme]],Tabelle10951259109113117126130[[#This Row],[Merged Theme]])</f>
        <v>20</v>
      </c>
      <c r="J4" s="45" t="s">
        <v>233</v>
      </c>
      <c r="K4" s="9"/>
    </row>
    <row r="5" spans="1:11" s="47" customFormat="1" ht="21" customHeight="1" x14ac:dyDescent="0.45">
      <c r="A5" s="29" t="s">
        <v>713</v>
      </c>
      <c r="B5" s="6" t="s">
        <v>1567</v>
      </c>
      <c r="C5" s="6" t="s">
        <v>1571</v>
      </c>
      <c r="D5" s="8" t="s">
        <v>234</v>
      </c>
      <c r="E5" s="42" t="s">
        <v>233</v>
      </c>
      <c r="F5" s="43" t="s">
        <v>233</v>
      </c>
      <c r="G5" s="10" t="s">
        <v>8</v>
      </c>
      <c r="H5" s="44"/>
      <c r="I5" s="43">
        <f>COUNTIF(Tabelle12265397112116120129133[[#All],[Merged Theme]],Tabelle10951259109113117126130[[#This Row],[Merged Theme]])</f>
        <v>14</v>
      </c>
      <c r="J5" s="45" t="s">
        <v>241</v>
      </c>
      <c r="K5" s="46"/>
    </row>
    <row r="6" spans="1:11" ht="21" customHeight="1" x14ac:dyDescent="0.45">
      <c r="A6" s="29" t="s">
        <v>714</v>
      </c>
      <c r="B6" s="6" t="s">
        <v>1567</v>
      </c>
      <c r="C6" s="6" t="s">
        <v>1571</v>
      </c>
      <c r="D6" s="8" t="s">
        <v>235</v>
      </c>
      <c r="E6" s="8" t="s">
        <v>236</v>
      </c>
      <c r="F6" s="10" t="s">
        <v>236</v>
      </c>
      <c r="G6" s="10" t="s">
        <v>471</v>
      </c>
      <c r="H6" s="30"/>
      <c r="I6" s="10">
        <f>COUNTIF(Tabelle12265397112116120129133[[#All],[Merged Theme]],Tabelle10951259109113117126130[[#This Row],[Merged Theme]])</f>
        <v>9</v>
      </c>
      <c r="J6" s="16" t="s">
        <v>245</v>
      </c>
      <c r="K6" s="9"/>
    </row>
    <row r="7" spans="1:11" ht="21" customHeight="1" x14ac:dyDescent="0.45">
      <c r="A7" s="29" t="s">
        <v>237</v>
      </c>
      <c r="B7" s="6" t="s">
        <v>209</v>
      </c>
      <c r="C7" s="6" t="s">
        <v>1572</v>
      </c>
      <c r="D7" s="8" t="s">
        <v>237</v>
      </c>
      <c r="E7" s="8" t="s">
        <v>233</v>
      </c>
      <c r="F7" s="10" t="s">
        <v>233</v>
      </c>
      <c r="G7" s="10" t="s">
        <v>8</v>
      </c>
      <c r="H7" s="30"/>
      <c r="I7" s="10">
        <f>COUNTIF(Tabelle12265397112116120129133[[#All],[Merged Theme]],Tabelle10951259109113117126130[[#This Row],[Merged Theme]])</f>
        <v>6</v>
      </c>
      <c r="J7" s="16" t="s">
        <v>236</v>
      </c>
      <c r="K7" s="9"/>
    </row>
    <row r="8" spans="1:11" ht="21" customHeight="1" x14ac:dyDescent="0.45">
      <c r="A8" s="29" t="s">
        <v>19</v>
      </c>
      <c r="B8" s="6" t="s">
        <v>1529</v>
      </c>
      <c r="C8" s="6" t="s">
        <v>1529</v>
      </c>
      <c r="D8" s="8" t="s">
        <v>19</v>
      </c>
      <c r="E8" s="8" t="s">
        <v>233</v>
      </c>
      <c r="F8" s="10" t="s">
        <v>233</v>
      </c>
      <c r="G8" s="10" t="s">
        <v>8</v>
      </c>
      <c r="H8" s="30"/>
      <c r="I8" s="10">
        <f>COUNTIF(Tabelle12265397112116120129133[[#All],[Merged Theme]],Tabelle10951259109113117126130[[#This Row],[Merged Theme]])</f>
        <v>6</v>
      </c>
      <c r="J8" s="16" t="s">
        <v>209</v>
      </c>
      <c r="K8" s="9"/>
    </row>
    <row r="9" spans="1:11" ht="21" customHeight="1" x14ac:dyDescent="0.45">
      <c r="A9" s="29" t="s">
        <v>238</v>
      </c>
      <c r="B9" s="6" t="s">
        <v>1573</v>
      </c>
      <c r="C9" s="6" t="s">
        <v>1573</v>
      </c>
      <c r="D9" s="8" t="s">
        <v>238</v>
      </c>
      <c r="E9" s="8" t="s">
        <v>241</v>
      </c>
      <c r="F9" s="10" t="s">
        <v>241</v>
      </c>
      <c r="G9" s="10" t="s">
        <v>8</v>
      </c>
      <c r="H9" s="30"/>
      <c r="I9" s="17">
        <f>SUM(Tabelle10951259109113117126130[Mentions])</f>
        <v>55</v>
      </c>
      <c r="J9" s="18"/>
      <c r="K9" s="33"/>
    </row>
    <row r="10" spans="1:11" ht="21" customHeight="1" x14ac:dyDescent="0.45">
      <c r="A10" s="29" t="s">
        <v>715</v>
      </c>
      <c r="B10" s="6" t="s">
        <v>1567</v>
      </c>
      <c r="C10" s="6" t="s">
        <v>1571</v>
      </c>
      <c r="D10" s="8" t="s">
        <v>239</v>
      </c>
      <c r="E10" s="8" t="s">
        <v>233</v>
      </c>
      <c r="F10" s="10" t="s">
        <v>233</v>
      </c>
      <c r="G10" s="10" t="s">
        <v>8</v>
      </c>
      <c r="H10" s="30"/>
      <c r="I10" s="30"/>
      <c r="J10" s="30"/>
      <c r="K10" s="9"/>
    </row>
    <row r="11" spans="1:11" ht="21" customHeight="1" x14ac:dyDescent="0.45">
      <c r="A11" s="29" t="s">
        <v>240</v>
      </c>
      <c r="B11" s="6" t="s">
        <v>1573</v>
      </c>
      <c r="C11" s="6" t="s">
        <v>1573</v>
      </c>
      <c r="D11" s="8" t="s">
        <v>240</v>
      </c>
      <c r="E11" s="8" t="s">
        <v>241</v>
      </c>
      <c r="F11" s="10" t="s">
        <v>241</v>
      </c>
      <c r="G11" s="10" t="s">
        <v>8</v>
      </c>
      <c r="H11" s="30"/>
      <c r="I11" s="30"/>
      <c r="J11" s="30"/>
      <c r="K11" s="9"/>
    </row>
    <row r="12" spans="1:11" ht="21" customHeight="1" x14ac:dyDescent="0.65">
      <c r="A12" s="29" t="s">
        <v>716</v>
      </c>
      <c r="B12" s="6" t="s">
        <v>209</v>
      </c>
      <c r="C12" s="6" t="s">
        <v>1572</v>
      </c>
      <c r="D12" s="8" t="s">
        <v>242</v>
      </c>
      <c r="E12" s="8" t="s">
        <v>209</v>
      </c>
      <c r="F12" s="10" t="s">
        <v>209</v>
      </c>
      <c r="G12" s="10" t="s">
        <v>8</v>
      </c>
      <c r="H12" s="30"/>
      <c r="I12" s="63" t="s">
        <v>451</v>
      </c>
      <c r="J12" s="63"/>
      <c r="K12" s="31"/>
    </row>
    <row r="13" spans="1:11" ht="21" customHeight="1" x14ac:dyDescent="0.55000000000000004">
      <c r="A13" s="29" t="s">
        <v>717</v>
      </c>
      <c r="B13" s="6" t="s">
        <v>209</v>
      </c>
      <c r="C13" s="6" t="s">
        <v>1572</v>
      </c>
      <c r="D13" s="8" t="s">
        <v>243</v>
      </c>
      <c r="E13" s="8" t="s">
        <v>209</v>
      </c>
      <c r="F13" s="10" t="s">
        <v>209</v>
      </c>
      <c r="G13" s="10" t="s">
        <v>8</v>
      </c>
      <c r="H13" s="30"/>
      <c r="I13" s="23" t="s">
        <v>5</v>
      </c>
      <c r="J13" s="22" t="s">
        <v>3</v>
      </c>
      <c r="K13" s="34"/>
    </row>
    <row r="14" spans="1:11" ht="21" customHeight="1" x14ac:dyDescent="0.45">
      <c r="A14" s="29" t="s">
        <v>718</v>
      </c>
      <c r="B14" s="6" t="s">
        <v>1529</v>
      </c>
      <c r="C14" s="6" t="s">
        <v>1529</v>
      </c>
      <c r="D14" s="8" t="s">
        <v>244</v>
      </c>
      <c r="E14" s="8" t="s">
        <v>245</v>
      </c>
      <c r="F14" s="10" t="s">
        <v>245</v>
      </c>
      <c r="G14" s="10" t="s">
        <v>8</v>
      </c>
      <c r="H14" s="30"/>
      <c r="I14" s="6">
        <f>COUNTIF(Tabelle12265397112116120129133[A - Theme],Tabelle10911152394110114118127131[[#This Row],[Theme]])</f>
        <v>14</v>
      </c>
      <c r="J14" s="38" t="s">
        <v>1571</v>
      </c>
      <c r="K14" s="35"/>
    </row>
    <row r="15" spans="1:11" ht="21" customHeight="1" x14ac:dyDescent="0.45">
      <c r="A15" s="29" t="s">
        <v>719</v>
      </c>
      <c r="B15" s="6" t="s">
        <v>1573</v>
      </c>
      <c r="C15" s="6" t="s">
        <v>1573</v>
      </c>
      <c r="D15" s="8" t="s">
        <v>252</v>
      </c>
      <c r="E15" s="8" t="s">
        <v>241</v>
      </c>
      <c r="F15" s="10" t="s">
        <v>241</v>
      </c>
      <c r="G15" s="10" t="s">
        <v>471</v>
      </c>
      <c r="H15" s="30"/>
      <c r="I15" s="6">
        <f>COUNTIF(Tabelle12265397112116120129133[A - Theme],Tabelle10911152394110114118127131[[#This Row],[Theme]])</f>
        <v>13</v>
      </c>
      <c r="J15" s="38" t="s">
        <v>1529</v>
      </c>
      <c r="K15" s="35"/>
    </row>
    <row r="16" spans="1:11" ht="21" customHeight="1" x14ac:dyDescent="0.45">
      <c r="A16" s="29" t="s">
        <v>720</v>
      </c>
      <c r="B16" s="6" t="s">
        <v>209</v>
      </c>
      <c r="C16" s="6" t="s">
        <v>1572</v>
      </c>
      <c r="D16" s="8" t="s">
        <v>246</v>
      </c>
      <c r="E16" s="8" t="s">
        <v>209</v>
      </c>
      <c r="F16" s="10" t="s">
        <v>209</v>
      </c>
      <c r="G16" s="10" t="s">
        <v>471</v>
      </c>
      <c r="H16" s="30"/>
      <c r="I16" s="6">
        <f>COUNTIF(Tabelle12265397112116120129133[A - Theme],Tabelle10911152394110114118127131[[#This Row],[Theme]])</f>
        <v>12</v>
      </c>
      <c r="J16" s="38" t="s">
        <v>1572</v>
      </c>
      <c r="K16" s="35"/>
    </row>
    <row r="17" spans="1:11" ht="21" customHeight="1" x14ac:dyDescent="0.45">
      <c r="A17" s="29" t="s">
        <v>721</v>
      </c>
      <c r="B17" s="6" t="s">
        <v>1568</v>
      </c>
      <c r="C17" s="6" t="s">
        <v>1572</v>
      </c>
      <c r="D17" s="8" t="s">
        <v>247</v>
      </c>
      <c r="E17" s="8" t="s">
        <v>236</v>
      </c>
      <c r="F17" s="10" t="s">
        <v>236</v>
      </c>
      <c r="G17" s="10" t="s">
        <v>471</v>
      </c>
      <c r="H17" s="30"/>
      <c r="I17" s="6">
        <f>COUNTIF(Tabelle12265397112116120129133[A - Theme],Tabelle10911152394110114118127131[[#This Row],[Theme]])</f>
        <v>10</v>
      </c>
      <c r="J17" s="38" t="s">
        <v>1573</v>
      </c>
      <c r="K17" s="35"/>
    </row>
    <row r="18" spans="1:11" ht="21" customHeight="1" x14ac:dyDescent="0.45">
      <c r="A18" s="29" t="s">
        <v>722</v>
      </c>
      <c r="B18" s="6" t="s">
        <v>1529</v>
      </c>
      <c r="C18" s="6" t="s">
        <v>1529</v>
      </c>
      <c r="D18" s="8" t="s">
        <v>248</v>
      </c>
      <c r="E18" s="8" t="s">
        <v>245</v>
      </c>
      <c r="F18" s="10" t="s">
        <v>245</v>
      </c>
      <c r="G18" s="10" t="s">
        <v>8</v>
      </c>
      <c r="H18" s="30"/>
      <c r="I18" s="6">
        <f>COUNTIF(Tabelle12265397112116120129133[A - Theme],Tabelle10911152394110114118127131[[#This Row],[Theme]])</f>
        <v>6</v>
      </c>
      <c r="J18" s="38" t="s">
        <v>1570</v>
      </c>
      <c r="K18" s="35"/>
    </row>
    <row r="19" spans="1:11" ht="21" customHeight="1" x14ac:dyDescent="0.45">
      <c r="A19" s="29" t="s">
        <v>723</v>
      </c>
      <c r="B19" s="6" t="s">
        <v>1569</v>
      </c>
      <c r="C19" s="6" t="s">
        <v>1571</v>
      </c>
      <c r="D19" s="8" t="s">
        <v>249</v>
      </c>
      <c r="E19" s="8" t="s">
        <v>245</v>
      </c>
      <c r="F19" s="10" t="s">
        <v>245</v>
      </c>
      <c r="G19" s="10" t="s">
        <v>8</v>
      </c>
      <c r="H19" s="30"/>
      <c r="I19" s="20">
        <f>SUM(Tabelle10911152394110114118127131[Mentions])</f>
        <v>55</v>
      </c>
      <c r="J19" s="21"/>
      <c r="K19" s="35"/>
    </row>
    <row r="20" spans="1:11" ht="21" customHeight="1" x14ac:dyDescent="0.45">
      <c r="A20" s="29" t="s">
        <v>724</v>
      </c>
      <c r="B20" s="6" t="s">
        <v>1573</v>
      </c>
      <c r="C20" s="6" t="s">
        <v>1573</v>
      </c>
      <c r="D20" s="8" t="s">
        <v>250</v>
      </c>
      <c r="E20" s="8" t="s">
        <v>233</v>
      </c>
      <c r="F20" s="10" t="s">
        <v>233</v>
      </c>
      <c r="G20" s="10" t="s">
        <v>8</v>
      </c>
      <c r="H20" s="30"/>
      <c r="I20" s="30"/>
      <c r="J20" s="30"/>
      <c r="K20" s="35"/>
    </row>
    <row r="21" spans="1:11" ht="21" customHeight="1" x14ac:dyDescent="0.45">
      <c r="A21" s="29" t="s">
        <v>725</v>
      </c>
      <c r="B21" s="6" t="s">
        <v>1570</v>
      </c>
      <c r="C21" s="6" t="s">
        <v>1570</v>
      </c>
      <c r="D21" s="8" t="s">
        <v>251</v>
      </c>
      <c r="E21" s="8" t="s">
        <v>236</v>
      </c>
      <c r="F21" s="10" t="s">
        <v>236</v>
      </c>
      <c r="G21" s="10" t="s">
        <v>8</v>
      </c>
      <c r="H21" s="30"/>
      <c r="I21" s="30"/>
      <c r="J21" s="30"/>
      <c r="K21" s="35"/>
    </row>
    <row r="22" spans="1:11" ht="21" customHeight="1" x14ac:dyDescent="0.65">
      <c r="A22" s="29" t="s">
        <v>726</v>
      </c>
      <c r="B22" s="6" t="s">
        <v>1573</v>
      </c>
      <c r="C22" s="6" t="s">
        <v>1573</v>
      </c>
      <c r="D22" s="8" t="s">
        <v>252</v>
      </c>
      <c r="E22" s="8" t="s">
        <v>233</v>
      </c>
      <c r="F22" s="10" t="s">
        <v>233</v>
      </c>
      <c r="G22" s="10" t="s">
        <v>470</v>
      </c>
      <c r="H22" s="30"/>
      <c r="I22" s="36" t="s">
        <v>452</v>
      </c>
      <c r="J22" s="36"/>
      <c r="K22" s="35"/>
    </row>
    <row r="23" spans="1:11" ht="21" customHeight="1" x14ac:dyDescent="0.55000000000000004">
      <c r="A23" s="29" t="s">
        <v>727</v>
      </c>
      <c r="B23" s="6" t="s">
        <v>1573</v>
      </c>
      <c r="C23" s="6" t="s">
        <v>1573</v>
      </c>
      <c r="D23" s="8" t="s">
        <v>250</v>
      </c>
      <c r="E23" s="8" t="s">
        <v>233</v>
      </c>
      <c r="F23" s="10" t="s">
        <v>233</v>
      </c>
      <c r="G23" s="10" t="s">
        <v>8</v>
      </c>
      <c r="H23" s="30"/>
      <c r="I23" s="19" t="s">
        <v>5</v>
      </c>
      <c r="J23" s="19" t="s">
        <v>3</v>
      </c>
      <c r="K23" s="35"/>
    </row>
    <row r="24" spans="1:11" ht="21" customHeight="1" x14ac:dyDescent="0.45">
      <c r="A24" s="29" t="s">
        <v>728</v>
      </c>
      <c r="B24" s="6" t="s">
        <v>1569</v>
      </c>
      <c r="C24" s="6" t="s">
        <v>1571</v>
      </c>
      <c r="D24" s="8" t="s">
        <v>253</v>
      </c>
      <c r="E24" s="8" t="s">
        <v>245</v>
      </c>
      <c r="F24" s="10" t="s">
        <v>245</v>
      </c>
      <c r="G24" s="10" t="s">
        <v>8</v>
      </c>
      <c r="H24" s="30"/>
      <c r="I24" s="8">
        <f>COUNTIF(Tabelle12265397112116120129133[B - Theme],Tabelle10911111258796111115119128132[[#This Row],[Theme]])</f>
        <v>20</v>
      </c>
      <c r="J24" s="26" t="s">
        <v>233</v>
      </c>
      <c r="K24" s="33"/>
    </row>
    <row r="25" spans="1:11" ht="21" customHeight="1" x14ac:dyDescent="0.45">
      <c r="A25" s="29" t="s">
        <v>729</v>
      </c>
      <c r="B25" s="6" t="s">
        <v>1529</v>
      </c>
      <c r="C25" s="6" t="s">
        <v>1529</v>
      </c>
      <c r="D25" s="8" t="s">
        <v>254</v>
      </c>
      <c r="E25" s="8" t="s">
        <v>241</v>
      </c>
      <c r="F25" s="10" t="s">
        <v>241</v>
      </c>
      <c r="G25" s="10" t="s">
        <v>8</v>
      </c>
      <c r="H25" s="30"/>
      <c r="I25" s="8">
        <f>COUNTIF(Tabelle12265397112116120129133[B - Theme],Tabelle10911111258796111115119128132[[#This Row],[Theme]])</f>
        <v>14</v>
      </c>
      <c r="J25" s="26" t="s">
        <v>241</v>
      </c>
      <c r="K25" s="30"/>
    </row>
    <row r="26" spans="1:11" ht="21" customHeight="1" x14ac:dyDescent="0.45">
      <c r="A26" s="29" t="s">
        <v>730</v>
      </c>
      <c r="B26" s="6" t="s">
        <v>1570</v>
      </c>
      <c r="C26" s="6" t="s">
        <v>1570</v>
      </c>
      <c r="D26" s="8" t="s">
        <v>255</v>
      </c>
      <c r="E26" s="8" t="s">
        <v>236</v>
      </c>
      <c r="F26" s="10" t="s">
        <v>236</v>
      </c>
      <c r="G26" s="10" t="s">
        <v>8</v>
      </c>
      <c r="H26" s="30"/>
      <c r="I26" s="8">
        <f>COUNTIF(Tabelle12265397112116120129133[B - Theme],Tabelle10911111258796111115119128132[[#This Row],[Theme]])</f>
        <v>9</v>
      </c>
      <c r="J26" s="26" t="s">
        <v>245</v>
      </c>
      <c r="K26" s="30"/>
    </row>
    <row r="27" spans="1:11" ht="21" customHeight="1" x14ac:dyDescent="0.45">
      <c r="A27" s="29" t="s">
        <v>731</v>
      </c>
      <c r="B27" s="6" t="s">
        <v>1529</v>
      </c>
      <c r="C27" s="6" t="s">
        <v>1529</v>
      </c>
      <c r="D27" s="8" t="s">
        <v>463</v>
      </c>
      <c r="E27" s="8" t="s">
        <v>241</v>
      </c>
      <c r="F27" s="10" t="s">
        <v>241</v>
      </c>
      <c r="G27" s="10" t="s">
        <v>8</v>
      </c>
      <c r="H27" s="30"/>
      <c r="I27" s="8">
        <f>COUNTIF(Tabelle12265397112116120129133[B - Theme],Tabelle10911111258796111115119128132[[#This Row],[Theme]])</f>
        <v>6</v>
      </c>
      <c r="J27" s="26" t="s">
        <v>236</v>
      </c>
      <c r="K27" s="30"/>
    </row>
    <row r="28" spans="1:11" ht="21" customHeight="1" x14ac:dyDescent="0.45">
      <c r="A28" s="29" t="s">
        <v>732</v>
      </c>
      <c r="B28" s="6" t="s">
        <v>1569</v>
      </c>
      <c r="C28" s="6" t="s">
        <v>1571</v>
      </c>
      <c r="D28" s="8" t="s">
        <v>256</v>
      </c>
      <c r="E28" s="8" t="s">
        <v>245</v>
      </c>
      <c r="F28" s="10" t="s">
        <v>245</v>
      </c>
      <c r="G28" s="10" t="s">
        <v>8</v>
      </c>
      <c r="H28" s="30"/>
      <c r="I28" s="8">
        <f>COUNTIF(Tabelle12265397112116120129133[B - Theme],Tabelle10911111258796111115119128132[[#This Row],[Theme]])</f>
        <v>6</v>
      </c>
      <c r="J28" s="26" t="s">
        <v>209</v>
      </c>
      <c r="K28" s="30"/>
    </row>
    <row r="29" spans="1:11" ht="21" customHeight="1" x14ac:dyDescent="0.45">
      <c r="A29" s="29" t="s">
        <v>733</v>
      </c>
      <c r="B29" s="6" t="s">
        <v>1568</v>
      </c>
      <c r="C29" s="6" t="s">
        <v>1572</v>
      </c>
      <c r="D29" s="8" t="s">
        <v>257</v>
      </c>
      <c r="E29" s="8" t="s">
        <v>245</v>
      </c>
      <c r="F29" s="10" t="s">
        <v>245</v>
      </c>
      <c r="G29" s="10" t="s">
        <v>8</v>
      </c>
      <c r="H29" s="30"/>
      <c r="I29" s="24">
        <f>SUM(Tabelle10911111258796111115119128132[Mentions])</f>
        <v>55</v>
      </c>
      <c r="J29" s="25"/>
      <c r="K29" s="30"/>
    </row>
    <row r="30" spans="1:11" ht="21" customHeight="1" x14ac:dyDescent="0.45">
      <c r="A30" s="29" t="s">
        <v>734</v>
      </c>
      <c r="B30" s="6" t="s">
        <v>1570</v>
      </c>
      <c r="C30" s="6" t="s">
        <v>1570</v>
      </c>
      <c r="D30" s="8" t="s">
        <v>258</v>
      </c>
      <c r="E30" s="8" t="s">
        <v>236</v>
      </c>
      <c r="F30" s="10" t="s">
        <v>236</v>
      </c>
      <c r="G30" s="10" t="s">
        <v>8</v>
      </c>
      <c r="H30" s="30"/>
      <c r="I30" s="30"/>
      <c r="J30" s="30"/>
      <c r="K30" s="30"/>
    </row>
    <row r="31" spans="1:11" ht="21" customHeight="1" x14ac:dyDescent="0.45">
      <c r="A31" s="29" t="s">
        <v>735</v>
      </c>
      <c r="B31" s="6" t="s">
        <v>1570</v>
      </c>
      <c r="C31" s="6" t="s">
        <v>1570</v>
      </c>
      <c r="D31" s="8" t="s">
        <v>259</v>
      </c>
      <c r="E31" s="8" t="s">
        <v>241</v>
      </c>
      <c r="F31" s="10" t="s">
        <v>241</v>
      </c>
      <c r="G31" s="10" t="s">
        <v>8</v>
      </c>
      <c r="H31" s="30"/>
      <c r="I31" s="30"/>
      <c r="J31" s="30"/>
      <c r="K31" s="30"/>
    </row>
    <row r="32" spans="1:11" ht="21" customHeight="1" x14ac:dyDescent="0.45">
      <c r="A32" s="29" t="s">
        <v>736</v>
      </c>
      <c r="B32" s="6" t="s">
        <v>1567</v>
      </c>
      <c r="C32" s="6" t="s">
        <v>1571</v>
      </c>
      <c r="D32" s="8" t="s">
        <v>260</v>
      </c>
      <c r="E32" s="8" t="s">
        <v>233</v>
      </c>
      <c r="F32" s="10" t="s">
        <v>233</v>
      </c>
      <c r="G32" s="10" t="s">
        <v>8</v>
      </c>
      <c r="H32" s="30"/>
      <c r="I32" s="30"/>
      <c r="J32" s="30"/>
      <c r="K32" s="30"/>
    </row>
    <row r="33" spans="1:11" ht="21" customHeight="1" x14ac:dyDescent="0.45">
      <c r="A33" s="29" t="s">
        <v>737</v>
      </c>
      <c r="B33" s="6" t="s">
        <v>1567</v>
      </c>
      <c r="C33" s="6" t="s">
        <v>1571</v>
      </c>
      <c r="D33" s="8" t="s">
        <v>261</v>
      </c>
      <c r="E33" s="8" t="s">
        <v>233</v>
      </c>
      <c r="F33" s="10" t="s">
        <v>233</v>
      </c>
      <c r="G33" s="10" t="s">
        <v>8</v>
      </c>
      <c r="H33" s="30"/>
      <c r="I33" s="30"/>
      <c r="J33" s="30"/>
      <c r="K33" s="30"/>
    </row>
    <row r="34" spans="1:11" ht="21" customHeight="1" x14ac:dyDescent="0.45">
      <c r="A34" s="29" t="s">
        <v>738</v>
      </c>
      <c r="B34" s="6" t="s">
        <v>1570</v>
      </c>
      <c r="C34" s="6" t="s">
        <v>1570</v>
      </c>
      <c r="D34" s="8" t="s">
        <v>262</v>
      </c>
      <c r="E34" s="8" t="s">
        <v>241</v>
      </c>
      <c r="F34" s="10" t="s">
        <v>241</v>
      </c>
      <c r="G34" s="10" t="s">
        <v>8</v>
      </c>
      <c r="H34" s="30"/>
      <c r="I34" s="30"/>
      <c r="J34" s="30"/>
      <c r="K34" s="30"/>
    </row>
    <row r="35" spans="1:11" ht="21" customHeight="1" x14ac:dyDescent="0.45">
      <c r="A35" s="29" t="s">
        <v>739</v>
      </c>
      <c r="B35" s="6" t="s">
        <v>1573</v>
      </c>
      <c r="C35" s="6" t="s">
        <v>1573</v>
      </c>
      <c r="D35" s="8" t="s">
        <v>250</v>
      </c>
      <c r="E35" s="8" t="s">
        <v>233</v>
      </c>
      <c r="F35" s="10" t="s">
        <v>233</v>
      </c>
      <c r="G35" s="10" t="s">
        <v>8</v>
      </c>
      <c r="H35" s="30"/>
      <c r="I35" s="30"/>
      <c r="J35" s="30"/>
      <c r="K35" s="30"/>
    </row>
    <row r="36" spans="1:11" ht="21" customHeight="1" x14ac:dyDescent="0.45">
      <c r="A36" s="29" t="s">
        <v>740</v>
      </c>
      <c r="B36" s="6" t="s">
        <v>1529</v>
      </c>
      <c r="C36" s="6" t="s">
        <v>1529</v>
      </c>
      <c r="D36" s="8" t="s">
        <v>263</v>
      </c>
      <c r="E36" s="8" t="s">
        <v>236</v>
      </c>
      <c r="F36" s="10" t="s">
        <v>236</v>
      </c>
      <c r="G36" s="10" t="s">
        <v>8</v>
      </c>
      <c r="H36" s="30"/>
      <c r="I36" s="30"/>
      <c r="J36" s="30"/>
      <c r="K36" s="30"/>
    </row>
    <row r="37" spans="1:11" ht="21" customHeight="1" x14ac:dyDescent="0.45">
      <c r="A37" s="29" t="s">
        <v>741</v>
      </c>
      <c r="B37" s="6" t="s">
        <v>209</v>
      </c>
      <c r="C37" s="6" t="s">
        <v>1572</v>
      </c>
      <c r="D37" s="8" t="s">
        <v>243</v>
      </c>
      <c r="E37" s="8" t="s">
        <v>209</v>
      </c>
      <c r="F37" s="10" t="s">
        <v>209</v>
      </c>
      <c r="G37" s="10" t="s">
        <v>8</v>
      </c>
      <c r="H37" s="30"/>
      <c r="I37" s="30"/>
      <c r="J37" s="30"/>
      <c r="K37" s="30"/>
    </row>
    <row r="38" spans="1:11" ht="21" customHeight="1" x14ac:dyDescent="0.45">
      <c r="A38" s="29" t="s">
        <v>742</v>
      </c>
      <c r="B38" s="6" t="s">
        <v>1529</v>
      </c>
      <c r="C38" s="6" t="s">
        <v>1529</v>
      </c>
      <c r="D38" s="8" t="s">
        <v>264</v>
      </c>
      <c r="E38" s="8" t="s">
        <v>233</v>
      </c>
      <c r="F38" s="10" t="s">
        <v>233</v>
      </c>
      <c r="G38" s="10" t="s">
        <v>8</v>
      </c>
      <c r="H38" s="30"/>
      <c r="I38" s="30"/>
      <c r="J38" s="30"/>
      <c r="K38" s="30"/>
    </row>
    <row r="39" spans="1:11" ht="21" customHeight="1" x14ac:dyDescent="0.45">
      <c r="A39" s="29" t="s">
        <v>743</v>
      </c>
      <c r="B39" s="6" t="s">
        <v>1529</v>
      </c>
      <c r="C39" s="6" t="s">
        <v>1529</v>
      </c>
      <c r="D39" s="8" t="s">
        <v>265</v>
      </c>
      <c r="E39" s="8" t="s">
        <v>241</v>
      </c>
      <c r="F39" s="10" t="s">
        <v>241</v>
      </c>
      <c r="G39" s="10" t="s">
        <v>8</v>
      </c>
      <c r="H39" s="30"/>
      <c r="I39" s="30"/>
      <c r="J39" s="30"/>
      <c r="K39" s="30"/>
    </row>
    <row r="40" spans="1:11" ht="21" customHeight="1" x14ac:dyDescent="0.45">
      <c r="A40" s="29" t="s">
        <v>744</v>
      </c>
      <c r="B40" s="6" t="s">
        <v>209</v>
      </c>
      <c r="C40" s="6" t="s">
        <v>1572</v>
      </c>
      <c r="D40" s="8" t="s">
        <v>266</v>
      </c>
      <c r="E40" s="8" t="s">
        <v>209</v>
      </c>
      <c r="F40" s="10" t="s">
        <v>209</v>
      </c>
      <c r="G40" s="10" t="s">
        <v>8</v>
      </c>
      <c r="H40" s="30"/>
      <c r="I40" s="30"/>
      <c r="J40" s="30"/>
      <c r="K40" s="30"/>
    </row>
    <row r="41" spans="1:11" ht="21" customHeight="1" x14ac:dyDescent="0.45">
      <c r="A41" s="29" t="s">
        <v>745</v>
      </c>
      <c r="B41" s="6" t="s">
        <v>1573</v>
      </c>
      <c r="C41" s="6" t="s">
        <v>1573</v>
      </c>
      <c r="D41" s="8" t="s">
        <v>267</v>
      </c>
      <c r="E41" s="8" t="s">
        <v>241</v>
      </c>
      <c r="F41" s="10" t="s">
        <v>241</v>
      </c>
      <c r="G41" s="10" t="s">
        <v>471</v>
      </c>
      <c r="H41" s="30"/>
      <c r="I41" s="30"/>
      <c r="J41" s="30"/>
      <c r="K41" s="30"/>
    </row>
    <row r="42" spans="1:11" ht="21" customHeight="1" x14ac:dyDescent="0.45">
      <c r="A42" s="29" t="s">
        <v>746</v>
      </c>
      <c r="B42" s="6" t="s">
        <v>1567</v>
      </c>
      <c r="C42" s="6" t="s">
        <v>1571</v>
      </c>
      <c r="D42" s="8" t="s">
        <v>268</v>
      </c>
      <c r="E42" s="8" t="s">
        <v>241</v>
      </c>
      <c r="F42" s="10" t="s">
        <v>241</v>
      </c>
      <c r="G42" s="10" t="s">
        <v>8</v>
      </c>
      <c r="H42" s="30"/>
      <c r="I42" s="30"/>
      <c r="J42" s="30"/>
      <c r="K42" s="30"/>
    </row>
    <row r="43" spans="1:11" ht="21" customHeight="1" x14ac:dyDescent="0.45">
      <c r="A43" s="29" t="s">
        <v>747</v>
      </c>
      <c r="B43" s="6" t="s">
        <v>1567</v>
      </c>
      <c r="C43" s="6" t="s">
        <v>1571</v>
      </c>
      <c r="D43" s="8" t="s">
        <v>269</v>
      </c>
      <c r="E43" s="8" t="s">
        <v>233</v>
      </c>
      <c r="F43" s="10" t="s">
        <v>233</v>
      </c>
      <c r="G43" s="10" t="s">
        <v>8</v>
      </c>
      <c r="H43" s="30"/>
      <c r="I43" s="30"/>
      <c r="J43" s="30"/>
      <c r="K43" s="30"/>
    </row>
    <row r="44" spans="1:11" ht="21" customHeight="1" x14ac:dyDescent="0.45">
      <c r="A44" s="29" t="s">
        <v>19</v>
      </c>
      <c r="B44" s="6" t="s">
        <v>1529</v>
      </c>
      <c r="C44" s="6" t="s">
        <v>1529</v>
      </c>
      <c r="D44" s="8" t="s">
        <v>19</v>
      </c>
      <c r="E44" s="8" t="s">
        <v>233</v>
      </c>
      <c r="F44" s="10" t="s">
        <v>233</v>
      </c>
      <c r="G44" s="10" t="s">
        <v>8</v>
      </c>
      <c r="H44" s="30"/>
      <c r="I44" s="30"/>
      <c r="J44" s="30"/>
      <c r="K44" s="30"/>
    </row>
    <row r="45" spans="1:11" ht="21" customHeight="1" x14ac:dyDescent="0.45">
      <c r="A45" s="29" t="s">
        <v>748</v>
      </c>
      <c r="B45" s="6" t="s">
        <v>1529</v>
      </c>
      <c r="C45" s="6" t="s">
        <v>1529</v>
      </c>
      <c r="D45" s="8" t="s">
        <v>270</v>
      </c>
      <c r="E45" s="8" t="s">
        <v>241</v>
      </c>
      <c r="F45" s="10" t="s">
        <v>241</v>
      </c>
      <c r="G45" s="10" t="s">
        <v>8</v>
      </c>
      <c r="H45" s="30"/>
      <c r="I45" s="30"/>
      <c r="J45" s="30"/>
      <c r="K45" s="30"/>
    </row>
    <row r="46" spans="1:11" ht="21" customHeight="1" x14ac:dyDescent="0.45">
      <c r="A46" s="29" t="s">
        <v>749</v>
      </c>
      <c r="B46" s="6" t="s">
        <v>1567</v>
      </c>
      <c r="C46" s="6" t="s">
        <v>1571</v>
      </c>
      <c r="D46" s="8" t="s">
        <v>271</v>
      </c>
      <c r="E46" s="8" t="s">
        <v>233</v>
      </c>
      <c r="F46" s="10" t="s">
        <v>233</v>
      </c>
      <c r="G46" s="10" t="s">
        <v>8</v>
      </c>
      <c r="H46" s="30"/>
      <c r="I46" s="30"/>
      <c r="J46" s="30"/>
      <c r="K46" s="30"/>
    </row>
    <row r="47" spans="1:11" ht="21" customHeight="1" x14ac:dyDescent="0.45">
      <c r="A47" s="29" t="s">
        <v>750</v>
      </c>
      <c r="B47" s="6" t="s">
        <v>1529</v>
      </c>
      <c r="C47" s="6" t="s">
        <v>1529</v>
      </c>
      <c r="D47" s="8" t="s">
        <v>272</v>
      </c>
      <c r="E47" s="8" t="s">
        <v>233</v>
      </c>
      <c r="F47" s="10" t="s">
        <v>233</v>
      </c>
      <c r="G47" s="10" t="s">
        <v>8</v>
      </c>
      <c r="H47" s="30"/>
      <c r="I47" s="30"/>
      <c r="J47" s="30"/>
      <c r="K47" s="30"/>
    </row>
    <row r="48" spans="1:11" ht="21" customHeight="1" x14ac:dyDescent="0.45">
      <c r="A48" s="29" t="s">
        <v>751</v>
      </c>
      <c r="B48" s="6" t="s">
        <v>1573</v>
      </c>
      <c r="C48" s="6" t="s">
        <v>1573</v>
      </c>
      <c r="D48" s="8" t="s">
        <v>250</v>
      </c>
      <c r="E48" s="8" t="s">
        <v>233</v>
      </c>
      <c r="F48" s="10" t="s">
        <v>233</v>
      </c>
      <c r="G48" s="10" t="s">
        <v>8</v>
      </c>
      <c r="H48" s="30"/>
      <c r="I48" s="30"/>
      <c r="J48" s="30"/>
      <c r="K48" s="30"/>
    </row>
    <row r="49" spans="1:11" ht="21" customHeight="1" x14ac:dyDescent="0.45">
      <c r="A49" s="29" t="s">
        <v>752</v>
      </c>
      <c r="B49" s="6" t="s">
        <v>209</v>
      </c>
      <c r="C49" s="6" t="s">
        <v>1572</v>
      </c>
      <c r="D49" s="8" t="s">
        <v>273</v>
      </c>
      <c r="E49" s="8" t="s">
        <v>241</v>
      </c>
      <c r="F49" s="10" t="s">
        <v>241</v>
      </c>
      <c r="G49" s="10" t="s">
        <v>8</v>
      </c>
      <c r="H49" s="30"/>
      <c r="I49" s="30"/>
      <c r="J49" s="30"/>
      <c r="K49" s="30"/>
    </row>
    <row r="50" spans="1:11" ht="21" customHeight="1" x14ac:dyDescent="0.45">
      <c r="A50" s="29" t="s">
        <v>753</v>
      </c>
      <c r="B50" s="6" t="s">
        <v>1529</v>
      </c>
      <c r="C50" s="6" t="s">
        <v>1529</v>
      </c>
      <c r="D50" s="8" t="s">
        <v>274</v>
      </c>
      <c r="E50" s="8" t="s">
        <v>233</v>
      </c>
      <c r="F50" s="10" t="s">
        <v>233</v>
      </c>
      <c r="G50" s="10" t="s">
        <v>8</v>
      </c>
      <c r="H50" s="30"/>
      <c r="I50" s="30"/>
      <c r="J50" s="30"/>
      <c r="K50" s="30"/>
    </row>
    <row r="51" spans="1:11" ht="21" customHeight="1" x14ac:dyDescent="0.45">
      <c r="A51" s="29" t="s">
        <v>754</v>
      </c>
      <c r="B51" s="6" t="s">
        <v>1529</v>
      </c>
      <c r="C51" s="6" t="s">
        <v>1529</v>
      </c>
      <c r="D51" s="8" t="s">
        <v>275</v>
      </c>
      <c r="E51" s="8" t="s">
        <v>245</v>
      </c>
      <c r="F51" s="10" t="s">
        <v>245</v>
      </c>
      <c r="G51" s="10" t="s">
        <v>8</v>
      </c>
      <c r="H51" s="30"/>
      <c r="I51" s="30"/>
      <c r="J51" s="30"/>
      <c r="K51" s="30"/>
    </row>
    <row r="52" spans="1:11" ht="21" customHeight="1" x14ac:dyDescent="0.45">
      <c r="A52" s="29" t="s">
        <v>755</v>
      </c>
      <c r="B52" s="6" t="s">
        <v>1569</v>
      </c>
      <c r="C52" s="6" t="s">
        <v>1571</v>
      </c>
      <c r="D52" s="8" t="s">
        <v>276</v>
      </c>
      <c r="E52" s="8" t="s">
        <v>245</v>
      </c>
      <c r="F52" s="10" t="s">
        <v>245</v>
      </c>
      <c r="G52" s="10" t="s">
        <v>8</v>
      </c>
      <c r="H52" s="30"/>
      <c r="I52" s="30"/>
      <c r="J52" s="30"/>
      <c r="K52" s="30"/>
    </row>
    <row r="53" spans="1:11" ht="21" customHeight="1" x14ac:dyDescent="0.45">
      <c r="A53" s="29" t="s">
        <v>756</v>
      </c>
      <c r="B53" s="6" t="s">
        <v>1570</v>
      </c>
      <c r="C53" s="6" t="s">
        <v>1570</v>
      </c>
      <c r="D53" s="8" t="s">
        <v>277</v>
      </c>
      <c r="E53" s="8" t="s">
        <v>241</v>
      </c>
      <c r="F53" s="10" t="s">
        <v>241</v>
      </c>
      <c r="G53" s="10" t="s">
        <v>8</v>
      </c>
      <c r="H53" s="30"/>
      <c r="I53" s="30"/>
      <c r="J53" s="30"/>
      <c r="K53" s="30"/>
    </row>
    <row r="54" spans="1:11" ht="21" customHeight="1" x14ac:dyDescent="0.45">
      <c r="A54" s="29" t="s">
        <v>120</v>
      </c>
      <c r="B54" s="6" t="s">
        <v>209</v>
      </c>
      <c r="C54" s="6" t="s">
        <v>1572</v>
      </c>
      <c r="D54" s="8" t="s">
        <v>120</v>
      </c>
      <c r="E54" s="8" t="s">
        <v>233</v>
      </c>
      <c r="F54" s="10" t="s">
        <v>233</v>
      </c>
      <c r="G54" s="10" t="s">
        <v>8</v>
      </c>
      <c r="H54" s="30"/>
      <c r="I54" s="30"/>
      <c r="J54" s="30"/>
      <c r="K54" s="30"/>
    </row>
    <row r="55" spans="1:11" ht="21" customHeight="1" x14ac:dyDescent="0.45">
      <c r="A55" s="29" t="s">
        <v>757</v>
      </c>
      <c r="B55" s="6" t="s">
        <v>209</v>
      </c>
      <c r="C55" s="6" t="s">
        <v>1572</v>
      </c>
      <c r="D55" s="8" t="s">
        <v>243</v>
      </c>
      <c r="E55" s="8" t="s">
        <v>209</v>
      </c>
      <c r="F55" s="10" t="s">
        <v>209</v>
      </c>
      <c r="G55" s="10" t="s">
        <v>8</v>
      </c>
      <c r="H55" s="30"/>
      <c r="I55" s="30"/>
      <c r="J55" s="30"/>
      <c r="K55" s="30"/>
    </row>
    <row r="56" spans="1:11" ht="21" customHeight="1" x14ac:dyDescent="0.45">
      <c r="A56" s="29" t="s">
        <v>758</v>
      </c>
      <c r="B56" s="6" t="s">
        <v>1573</v>
      </c>
      <c r="C56" s="6" t="s">
        <v>1573</v>
      </c>
      <c r="D56" s="8" t="s">
        <v>278</v>
      </c>
      <c r="E56" s="8" t="s">
        <v>233</v>
      </c>
      <c r="F56" s="10" t="s">
        <v>233</v>
      </c>
      <c r="G56" s="10" t="s">
        <v>8</v>
      </c>
      <c r="H56" s="30"/>
      <c r="I56" s="30"/>
      <c r="J56" s="30"/>
      <c r="K56" s="30"/>
    </row>
    <row r="57" spans="1:11" ht="21" customHeight="1" x14ac:dyDescent="0.45">
      <c r="A57" s="29" t="s">
        <v>759</v>
      </c>
      <c r="B57" s="6" t="s">
        <v>1569</v>
      </c>
      <c r="C57" s="6" t="s">
        <v>1571</v>
      </c>
      <c r="D57" s="8" t="s">
        <v>279</v>
      </c>
      <c r="E57" s="8" t="s">
        <v>245</v>
      </c>
      <c r="F57" s="10" t="s">
        <v>245</v>
      </c>
      <c r="G57" s="10" t="s">
        <v>8</v>
      </c>
      <c r="H57" s="30"/>
      <c r="I57" s="30"/>
      <c r="J57" s="30"/>
      <c r="K57" s="30"/>
    </row>
    <row r="58" spans="1:11" ht="21" customHeight="1" x14ac:dyDescent="0.45">
      <c r="A58" s="29" t="s">
        <v>760</v>
      </c>
      <c r="B58" s="6" t="s">
        <v>1568</v>
      </c>
      <c r="C58" s="6" t="s">
        <v>1572</v>
      </c>
      <c r="D58" s="8" t="s">
        <v>280</v>
      </c>
      <c r="E58" s="8" t="s">
        <v>241</v>
      </c>
      <c r="F58" s="10" t="s">
        <v>241</v>
      </c>
      <c r="G58" s="10" t="s">
        <v>8</v>
      </c>
      <c r="H58" s="30"/>
      <c r="I58" s="30"/>
      <c r="J58" s="30"/>
      <c r="K58" s="30"/>
    </row>
    <row r="59" spans="1:11" ht="21" customHeight="1" x14ac:dyDescent="0.45">
      <c r="A59" s="49"/>
      <c r="B59" s="49"/>
      <c r="C59" s="49"/>
      <c r="D59" s="49"/>
      <c r="E59" s="49"/>
      <c r="F59" s="49"/>
      <c r="G59" s="49"/>
    </row>
    <row r="60" spans="1:11" ht="21" customHeight="1" x14ac:dyDescent="0.45">
      <c r="A60" s="49"/>
      <c r="B60" s="49"/>
      <c r="C60" s="49"/>
      <c r="D60" s="49"/>
      <c r="E60" s="49"/>
      <c r="F60" s="49"/>
      <c r="G60" s="49"/>
    </row>
    <row r="61" spans="1:11" ht="21" customHeight="1" x14ac:dyDescent="0.45">
      <c r="A61" s="49"/>
      <c r="B61" s="49"/>
      <c r="C61" s="49"/>
      <c r="D61" s="49"/>
      <c r="E61" s="49"/>
      <c r="F61" s="49"/>
      <c r="G61" s="49"/>
    </row>
    <row r="62" spans="1:11" ht="21" customHeight="1" x14ac:dyDescent="0.45">
      <c r="A62" s="49"/>
      <c r="B62" s="49"/>
      <c r="C62" s="49"/>
      <c r="D62" s="49"/>
      <c r="E62" s="49"/>
      <c r="F62" s="49"/>
      <c r="G62" s="49"/>
    </row>
    <row r="63" spans="1:11" ht="21" customHeight="1" x14ac:dyDescent="0.45">
      <c r="A63" s="49"/>
      <c r="B63" s="49"/>
      <c r="C63" s="49"/>
      <c r="D63" s="49"/>
      <c r="E63" s="49"/>
      <c r="F63" s="49"/>
      <c r="G63" s="49"/>
    </row>
    <row r="64" spans="1:11" ht="21" customHeight="1" x14ac:dyDescent="0.45">
      <c r="A64" s="49"/>
      <c r="B64" s="49"/>
      <c r="C64" s="49"/>
      <c r="D64" s="49"/>
      <c r="E64" s="49"/>
      <c r="F64" s="49"/>
      <c r="G64" s="49"/>
    </row>
    <row r="65" spans="1:7" ht="21" customHeight="1" x14ac:dyDescent="0.45">
      <c r="A65" s="49"/>
      <c r="B65" s="49"/>
      <c r="C65" s="49"/>
      <c r="D65" s="49"/>
      <c r="E65" s="49"/>
      <c r="F65" s="49"/>
      <c r="G65" s="49"/>
    </row>
    <row r="66" spans="1:7" ht="21" customHeight="1" x14ac:dyDescent="0.45">
      <c r="A66" s="49"/>
      <c r="B66" s="49"/>
      <c r="C66" s="49"/>
      <c r="D66" s="49"/>
      <c r="E66" s="49"/>
      <c r="F66" s="49"/>
      <c r="G66" s="49"/>
    </row>
    <row r="67" spans="1:7" ht="21" customHeight="1" x14ac:dyDescent="0.45">
      <c r="A67" s="49"/>
      <c r="B67" s="49"/>
      <c r="C67" s="49"/>
      <c r="D67" s="49"/>
      <c r="E67" s="49"/>
      <c r="F67" s="49"/>
      <c r="G67" s="49"/>
    </row>
    <row r="68" spans="1:7" ht="21" customHeight="1" x14ac:dyDescent="0.45">
      <c r="A68" s="49"/>
      <c r="B68" s="49"/>
      <c r="C68" s="49"/>
      <c r="D68" s="49"/>
      <c r="E68" s="49"/>
      <c r="F68" s="49"/>
      <c r="G68" s="49"/>
    </row>
    <row r="69" spans="1:7" ht="21" customHeight="1" x14ac:dyDescent="0.45">
      <c r="A69" s="49"/>
      <c r="B69" s="49"/>
      <c r="C69" s="49"/>
      <c r="D69" s="49"/>
      <c r="E69" s="49"/>
      <c r="F69" s="49"/>
      <c r="G69" s="49"/>
    </row>
    <row r="70" spans="1:7" ht="21" customHeight="1" x14ac:dyDescent="0.45">
      <c r="A70" s="49"/>
      <c r="B70" s="49"/>
      <c r="C70" s="49"/>
      <c r="D70" s="49"/>
      <c r="E70" s="49"/>
      <c r="F70" s="49"/>
      <c r="G70" s="49"/>
    </row>
    <row r="71" spans="1:7" ht="21" customHeight="1" x14ac:dyDescent="0.45">
      <c r="A71" s="49"/>
      <c r="B71" s="49"/>
      <c r="C71" s="49"/>
      <c r="D71" s="49"/>
      <c r="E71" s="49"/>
      <c r="F71" s="49"/>
      <c r="G71" s="49"/>
    </row>
    <row r="72" spans="1:7" ht="21" customHeight="1" x14ac:dyDescent="0.45">
      <c r="A72" s="49"/>
      <c r="B72" s="49"/>
      <c r="C72" s="49"/>
      <c r="D72" s="49"/>
      <c r="E72" s="49"/>
      <c r="F72" s="49"/>
      <c r="G72" s="49"/>
    </row>
    <row r="73" spans="1:7" ht="21" customHeight="1" x14ac:dyDescent="0.45">
      <c r="A73" s="49"/>
      <c r="B73" s="49"/>
      <c r="C73" s="49"/>
      <c r="D73" s="49"/>
      <c r="E73" s="49"/>
      <c r="F73" s="49"/>
      <c r="G73" s="49"/>
    </row>
    <row r="74" spans="1:7" ht="21" customHeight="1" x14ac:dyDescent="0.45">
      <c r="A74" s="49"/>
      <c r="B74" s="49"/>
      <c r="C74" s="49"/>
      <c r="D74" s="49"/>
      <c r="E74" s="49"/>
      <c r="F74" s="49"/>
      <c r="G74" s="49"/>
    </row>
    <row r="75" spans="1:7" ht="21" customHeight="1" x14ac:dyDescent="0.45">
      <c r="A75" s="49"/>
      <c r="B75" s="49"/>
      <c r="C75" s="49"/>
      <c r="D75" s="49"/>
      <c r="E75" s="49"/>
      <c r="F75" s="49"/>
      <c r="G75" s="49"/>
    </row>
    <row r="76" spans="1:7" ht="21" customHeight="1" x14ac:dyDescent="0.45">
      <c r="A76" s="49"/>
      <c r="B76" s="49"/>
      <c r="C76" s="49"/>
      <c r="D76" s="49"/>
      <c r="E76" s="49"/>
      <c r="F76" s="49"/>
      <c r="G76" s="49"/>
    </row>
    <row r="77" spans="1:7" ht="21" customHeight="1" x14ac:dyDescent="0.45"/>
  </sheetData>
  <mergeCells count="3">
    <mergeCell ref="B2:C2"/>
    <mergeCell ref="D2:E2"/>
    <mergeCell ref="I12:J12"/>
  </mergeCells>
  <pageMargins left="0.7" right="0.7" top="0.78740157499999996" bottom="0.78740157499999996"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4EEE-5C79-4152-94D3-C79CEC84D3E1}">
  <dimension ref="A1:K83"/>
  <sheetViews>
    <sheetView zoomScale="70" zoomScaleNormal="70" workbookViewId="0">
      <selection activeCell="A4" sqref="A4"/>
    </sheetView>
  </sheetViews>
  <sheetFormatPr baseColWidth="10" defaultRowHeight="14.25" x14ac:dyDescent="0.45"/>
  <cols>
    <col min="1" max="1" width="43.46484375" customWidth="1"/>
    <col min="2" max="2" width="25.265625" customWidth="1"/>
    <col min="3" max="3" width="30.796875" customWidth="1"/>
    <col min="4" max="4" width="20.53125" customWidth="1"/>
    <col min="5" max="5" width="27.59765625" customWidth="1"/>
    <col min="6" max="6" width="33.33203125" customWidth="1"/>
    <col min="7" max="7" width="13.33203125" customWidth="1"/>
    <col min="9" max="9" width="14.06640625" customWidth="1"/>
    <col min="10" max="10" width="41.33203125" customWidth="1"/>
  </cols>
  <sheetData>
    <row r="1" spans="1:11" ht="54" customHeight="1" x14ac:dyDescent="0.45">
      <c r="A1" s="37" t="s">
        <v>623</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761</v>
      </c>
      <c r="B4" s="6" t="s">
        <v>1554</v>
      </c>
      <c r="C4" s="6" t="s">
        <v>1561</v>
      </c>
      <c r="D4" s="8" t="s">
        <v>287</v>
      </c>
      <c r="E4" s="8" t="s">
        <v>281</v>
      </c>
      <c r="F4" s="10" t="s">
        <v>1543</v>
      </c>
      <c r="G4" s="43" t="s">
        <v>8</v>
      </c>
      <c r="H4" s="30"/>
      <c r="I4" s="43">
        <f>COUNTIF(Tabelle12265397112116120129137[[#All],[Merged Theme]],Tabelle10951259109113117126134[[#This Row],[Merged Theme]])</f>
        <v>21</v>
      </c>
      <c r="J4" s="45" t="s">
        <v>1543</v>
      </c>
      <c r="K4" s="9"/>
    </row>
    <row r="5" spans="1:11" s="47" customFormat="1" ht="21" customHeight="1" x14ac:dyDescent="0.45">
      <c r="A5" s="29" t="s">
        <v>762</v>
      </c>
      <c r="B5" s="6" t="s">
        <v>1554</v>
      </c>
      <c r="C5" s="41" t="s">
        <v>1561</v>
      </c>
      <c r="D5" s="8" t="s">
        <v>288</v>
      </c>
      <c r="E5" s="42" t="s">
        <v>281</v>
      </c>
      <c r="F5" s="43" t="s">
        <v>1543</v>
      </c>
      <c r="G5" s="43" t="s">
        <v>8</v>
      </c>
      <c r="H5" s="44"/>
      <c r="I5" s="43">
        <f>COUNTIF(Tabelle12265397112116120129137[[#All],[Merged Theme]],Tabelle10951259109113117126134[[#This Row],[Merged Theme]])</f>
        <v>15</v>
      </c>
      <c r="J5" s="45" t="s">
        <v>1564</v>
      </c>
      <c r="K5" s="46"/>
    </row>
    <row r="6" spans="1:11" ht="21" customHeight="1" x14ac:dyDescent="0.45">
      <c r="A6" s="29" t="s">
        <v>763</v>
      </c>
      <c r="B6" s="6" t="s">
        <v>1555</v>
      </c>
      <c r="C6" s="6" t="s">
        <v>1561</v>
      </c>
      <c r="D6" s="8" t="s">
        <v>289</v>
      </c>
      <c r="E6" s="8" t="s">
        <v>282</v>
      </c>
      <c r="F6" s="10" t="s">
        <v>1564</v>
      </c>
      <c r="G6" s="43" t="s">
        <v>8</v>
      </c>
      <c r="H6" s="30"/>
      <c r="I6" s="43">
        <f>COUNTIF(Tabelle12265397112116120129137[[#All],[Merged Theme]],Tabelle10951259109113117126134[[#This Row],[Merged Theme]])</f>
        <v>15</v>
      </c>
      <c r="J6" s="45" t="s">
        <v>1565</v>
      </c>
      <c r="K6" s="9"/>
    </row>
    <row r="7" spans="1:11" ht="21" customHeight="1" x14ac:dyDescent="0.45">
      <c r="A7" s="29" t="s">
        <v>764</v>
      </c>
      <c r="B7" s="6" t="s">
        <v>1555</v>
      </c>
      <c r="C7" s="6" t="s">
        <v>1561</v>
      </c>
      <c r="D7" s="8" t="s">
        <v>290</v>
      </c>
      <c r="E7" s="8" t="s">
        <v>283</v>
      </c>
      <c r="F7" s="10" t="s">
        <v>283</v>
      </c>
      <c r="G7" s="43" t="s">
        <v>8</v>
      </c>
      <c r="H7" s="30"/>
      <c r="I7" s="10">
        <f>COUNTIF(Tabelle12265397112116120129137[[#All],[Merged Theme]],Tabelle10951259109113117126134[[#This Row],[Merged Theme]])</f>
        <v>14</v>
      </c>
      <c r="J7" s="16" t="s">
        <v>450</v>
      </c>
      <c r="K7" s="9"/>
    </row>
    <row r="8" spans="1:11" ht="21" customHeight="1" x14ac:dyDescent="0.45">
      <c r="A8" s="29" t="s">
        <v>765</v>
      </c>
      <c r="B8" s="6" t="s">
        <v>1556</v>
      </c>
      <c r="C8" s="6" t="s">
        <v>1562</v>
      </c>
      <c r="D8" s="8" t="s">
        <v>291</v>
      </c>
      <c r="E8" s="8" t="s">
        <v>284</v>
      </c>
      <c r="F8" s="10" t="s">
        <v>1565</v>
      </c>
      <c r="G8" s="43" t="s">
        <v>8</v>
      </c>
      <c r="H8" s="30"/>
      <c r="I8" s="10">
        <f>COUNTIF(Tabelle12265397112116120129137[[#All],[Merged Theme]],Tabelle10951259109113117126134[[#This Row],[Merged Theme]])</f>
        <v>8</v>
      </c>
      <c r="J8" s="16" t="s">
        <v>1566</v>
      </c>
      <c r="K8" s="9"/>
    </row>
    <row r="9" spans="1:11" ht="21" customHeight="1" x14ac:dyDescent="0.45">
      <c r="A9" s="29" t="s">
        <v>766</v>
      </c>
      <c r="B9" s="6" t="s">
        <v>1556</v>
      </c>
      <c r="C9" s="6" t="s">
        <v>1561</v>
      </c>
      <c r="D9" s="8" t="s">
        <v>292</v>
      </c>
      <c r="E9" s="8" t="s">
        <v>284</v>
      </c>
      <c r="F9" s="10" t="s">
        <v>1565</v>
      </c>
      <c r="G9" s="43" t="s">
        <v>8</v>
      </c>
      <c r="H9" s="30"/>
      <c r="I9" s="10">
        <f>COUNTIF(Tabelle12265397112116120129137[[#All],[Merged Theme]],Tabelle10951259109113117126134[[#This Row],[Merged Theme]])</f>
        <v>4</v>
      </c>
      <c r="J9" s="16" t="s">
        <v>259</v>
      </c>
      <c r="K9" s="33"/>
    </row>
    <row r="10" spans="1:11" ht="21" customHeight="1" x14ac:dyDescent="0.45">
      <c r="A10" s="29" t="s">
        <v>767</v>
      </c>
      <c r="B10" s="6" t="s">
        <v>1551</v>
      </c>
      <c r="C10" s="6" t="s">
        <v>1563</v>
      </c>
      <c r="D10" s="8" t="s">
        <v>293</v>
      </c>
      <c r="E10" s="8" t="s">
        <v>282</v>
      </c>
      <c r="F10" s="10" t="s">
        <v>1564</v>
      </c>
      <c r="G10" s="43" t="s">
        <v>8</v>
      </c>
      <c r="H10" s="30"/>
      <c r="I10" s="43">
        <f>COUNTIF(Tabelle12265397112116120129137[[#All],[Merged Theme]],Tabelle10951259109113117126134[[#This Row],[Merged Theme]])</f>
        <v>3</v>
      </c>
      <c r="J10" s="45" t="s">
        <v>283</v>
      </c>
      <c r="K10" s="9"/>
    </row>
    <row r="11" spans="1:11" ht="21" customHeight="1" x14ac:dyDescent="0.45">
      <c r="A11" s="29" t="s">
        <v>768</v>
      </c>
      <c r="B11" s="6" t="s">
        <v>1557</v>
      </c>
      <c r="C11" s="6" t="s">
        <v>1561</v>
      </c>
      <c r="D11" s="8" t="s">
        <v>294</v>
      </c>
      <c r="E11" s="8" t="s">
        <v>285</v>
      </c>
      <c r="F11" s="10" t="s">
        <v>450</v>
      </c>
      <c r="G11" s="43" t="s">
        <v>470</v>
      </c>
      <c r="H11" s="30"/>
      <c r="I11" s="17">
        <f>SUM(Tabelle10951259109113117126134[Mentions])</f>
        <v>80</v>
      </c>
      <c r="J11" s="18"/>
      <c r="K11" s="9"/>
    </row>
    <row r="12" spans="1:11" ht="21" customHeight="1" x14ac:dyDescent="0.65">
      <c r="A12" s="29" t="s">
        <v>769</v>
      </c>
      <c r="B12" s="6" t="s">
        <v>1554</v>
      </c>
      <c r="C12" s="6" t="s">
        <v>1561</v>
      </c>
      <c r="D12" s="8" t="s">
        <v>295</v>
      </c>
      <c r="E12" s="8" t="s">
        <v>281</v>
      </c>
      <c r="F12" s="10" t="s">
        <v>1543</v>
      </c>
      <c r="G12" s="43" t="s">
        <v>8</v>
      </c>
      <c r="H12" s="30"/>
      <c r="I12" s="30"/>
      <c r="J12" s="30"/>
      <c r="K12" s="31"/>
    </row>
    <row r="13" spans="1:11" ht="21" customHeight="1" x14ac:dyDescent="0.55000000000000004">
      <c r="A13" s="29" t="s">
        <v>770</v>
      </c>
      <c r="B13" s="6" t="s">
        <v>1554</v>
      </c>
      <c r="C13" s="6" t="s">
        <v>1561</v>
      </c>
      <c r="D13" s="8" t="s">
        <v>296</v>
      </c>
      <c r="E13" s="8" t="s">
        <v>281</v>
      </c>
      <c r="F13" s="10" t="s">
        <v>1543</v>
      </c>
      <c r="G13" s="43" t="s">
        <v>8</v>
      </c>
      <c r="H13" s="30"/>
      <c r="I13" s="30"/>
      <c r="J13" s="30"/>
      <c r="K13" s="34"/>
    </row>
    <row r="14" spans="1:11" ht="21" customHeight="1" x14ac:dyDescent="0.65">
      <c r="A14" s="29" t="s">
        <v>771</v>
      </c>
      <c r="B14" s="6" t="s">
        <v>1554</v>
      </c>
      <c r="C14" s="6" t="s">
        <v>1561</v>
      </c>
      <c r="D14" s="8" t="s">
        <v>297</v>
      </c>
      <c r="E14" s="8" t="s">
        <v>281</v>
      </c>
      <c r="F14" s="10" t="s">
        <v>1543</v>
      </c>
      <c r="G14" s="43" t="s">
        <v>8</v>
      </c>
      <c r="H14" s="30"/>
      <c r="I14" s="63" t="s">
        <v>451</v>
      </c>
      <c r="J14" s="63"/>
      <c r="K14" s="35"/>
    </row>
    <row r="15" spans="1:11" ht="21" customHeight="1" x14ac:dyDescent="0.55000000000000004">
      <c r="A15" s="29" t="s">
        <v>772</v>
      </c>
      <c r="B15" s="6" t="s">
        <v>1555</v>
      </c>
      <c r="C15" s="6" t="s">
        <v>1561</v>
      </c>
      <c r="D15" s="8" t="s">
        <v>298</v>
      </c>
      <c r="E15" s="8" t="s">
        <v>282</v>
      </c>
      <c r="F15" s="10" t="s">
        <v>1564</v>
      </c>
      <c r="G15" s="43" t="s">
        <v>8</v>
      </c>
      <c r="H15" s="30"/>
      <c r="I15" s="23" t="s">
        <v>5</v>
      </c>
      <c r="J15" s="22" t="s">
        <v>3</v>
      </c>
      <c r="K15" s="35"/>
    </row>
    <row r="16" spans="1:11" ht="21" customHeight="1" x14ac:dyDescent="0.45">
      <c r="A16" s="29" t="s">
        <v>773</v>
      </c>
      <c r="B16" s="6" t="s">
        <v>1554</v>
      </c>
      <c r="C16" s="6" t="s">
        <v>1561</v>
      </c>
      <c r="D16" s="8" t="s">
        <v>299</v>
      </c>
      <c r="E16" s="8" t="s">
        <v>281</v>
      </c>
      <c r="F16" s="10" t="s">
        <v>1543</v>
      </c>
      <c r="G16" s="43" t="s">
        <v>8</v>
      </c>
      <c r="H16" s="30"/>
      <c r="I16" s="6">
        <f>COUNTIF(Tabelle12265397112116120129137[A - Theme],Tabelle10911152394110114118127135[[#This Row],[Theme]])</f>
        <v>39</v>
      </c>
      <c r="J16" s="38" t="s">
        <v>1561</v>
      </c>
      <c r="K16" s="35"/>
    </row>
    <row r="17" spans="1:11" ht="21" customHeight="1" x14ac:dyDescent="0.45">
      <c r="A17" s="29" t="s">
        <v>774</v>
      </c>
      <c r="B17" s="6" t="s">
        <v>1554</v>
      </c>
      <c r="C17" s="6" t="s">
        <v>1561</v>
      </c>
      <c r="D17" s="8" t="s">
        <v>300</v>
      </c>
      <c r="E17" s="8" t="s">
        <v>281</v>
      </c>
      <c r="F17" s="10" t="s">
        <v>1543</v>
      </c>
      <c r="G17" s="43" t="s">
        <v>8</v>
      </c>
      <c r="H17" s="30"/>
      <c r="I17" s="6">
        <f>COUNTIF(Tabelle12265397112116120129137[A - Theme],Tabelle10911152394110114118127135[[#This Row],[Theme]])</f>
        <v>23</v>
      </c>
      <c r="J17" s="38" t="s">
        <v>1562</v>
      </c>
      <c r="K17" s="35"/>
    </row>
    <row r="18" spans="1:11" ht="21" customHeight="1" x14ac:dyDescent="0.45">
      <c r="A18" s="29" t="s">
        <v>775</v>
      </c>
      <c r="B18" s="6" t="s">
        <v>1551</v>
      </c>
      <c r="C18" s="6" t="s">
        <v>1563</v>
      </c>
      <c r="D18" s="8" t="s">
        <v>301</v>
      </c>
      <c r="E18" s="8" t="s">
        <v>282</v>
      </c>
      <c r="F18" s="10" t="s">
        <v>1564</v>
      </c>
      <c r="G18" s="43" t="s">
        <v>8</v>
      </c>
      <c r="H18" s="30"/>
      <c r="I18" s="6">
        <f>COUNTIF(Tabelle12265397112116120129137[A - Theme],Tabelle10911152394110114118127135[[#This Row],[Theme]])</f>
        <v>7</v>
      </c>
      <c r="J18" s="38" t="s">
        <v>1563</v>
      </c>
      <c r="K18" s="35"/>
    </row>
    <row r="19" spans="1:11" ht="21" customHeight="1" x14ac:dyDescent="0.45">
      <c r="A19" s="29" t="s">
        <v>776</v>
      </c>
      <c r="B19" s="6" t="s">
        <v>1555</v>
      </c>
      <c r="C19" s="6" t="s">
        <v>1562</v>
      </c>
      <c r="D19" s="8" t="s">
        <v>302</v>
      </c>
      <c r="E19" s="8" t="s">
        <v>284</v>
      </c>
      <c r="F19" s="10" t="s">
        <v>1565</v>
      </c>
      <c r="G19" s="43" t="s">
        <v>8</v>
      </c>
      <c r="H19" s="30"/>
      <c r="I19" s="6">
        <f>COUNTIF(Tabelle12265397112116120129137[A - Theme],Tabelle10911152394110114118127135[[#This Row],[Theme]])</f>
        <v>4</v>
      </c>
      <c r="J19" s="38" t="s">
        <v>259</v>
      </c>
      <c r="K19" s="35"/>
    </row>
    <row r="20" spans="1:11" ht="21" customHeight="1" x14ac:dyDescent="0.45">
      <c r="A20" s="29" t="s">
        <v>777</v>
      </c>
      <c r="B20" s="6" t="s">
        <v>1554</v>
      </c>
      <c r="C20" s="6" t="s">
        <v>1561</v>
      </c>
      <c r="D20" s="8" t="s">
        <v>303</v>
      </c>
      <c r="E20" s="8" t="s">
        <v>281</v>
      </c>
      <c r="F20" s="10" t="s">
        <v>1543</v>
      </c>
      <c r="G20" s="43" t="s">
        <v>8</v>
      </c>
      <c r="H20" s="30"/>
      <c r="I20" s="6">
        <f>COUNTIF(Tabelle12265397112116120129137[A - Theme],Tabelle10911152394110114118127135[[#This Row],[Theme]])</f>
        <v>4</v>
      </c>
      <c r="J20" s="27" t="s">
        <v>117</v>
      </c>
      <c r="K20" s="35"/>
    </row>
    <row r="21" spans="1:11" ht="21" customHeight="1" x14ac:dyDescent="0.45">
      <c r="A21" s="29" t="s">
        <v>778</v>
      </c>
      <c r="B21" s="6" t="s">
        <v>1558</v>
      </c>
      <c r="C21" s="6" t="s">
        <v>1562</v>
      </c>
      <c r="D21" s="8" t="s">
        <v>304</v>
      </c>
      <c r="E21" s="8" t="s">
        <v>286</v>
      </c>
      <c r="F21" s="10" t="s">
        <v>1566</v>
      </c>
      <c r="G21" s="43" t="s">
        <v>8</v>
      </c>
      <c r="H21" s="30"/>
      <c r="I21" s="6">
        <f>COUNTIF(Tabelle12265397112116120129137[A - Theme],Tabelle10911152394110114118127135[[#This Row],[Theme]])</f>
        <v>3</v>
      </c>
      <c r="J21" s="38" t="s">
        <v>1232</v>
      </c>
      <c r="K21" s="35"/>
    </row>
    <row r="22" spans="1:11" ht="21" customHeight="1" x14ac:dyDescent="0.45">
      <c r="A22" s="29" t="s">
        <v>779</v>
      </c>
      <c r="B22" s="6" t="s">
        <v>1551</v>
      </c>
      <c r="C22" s="6" t="s">
        <v>1563</v>
      </c>
      <c r="D22" s="8" t="s">
        <v>305</v>
      </c>
      <c r="E22" s="8" t="s">
        <v>282</v>
      </c>
      <c r="F22" s="10" t="s">
        <v>1564</v>
      </c>
      <c r="G22" s="43" t="s">
        <v>8</v>
      </c>
      <c r="H22" s="30"/>
      <c r="I22" s="20">
        <f>SUM(Tabelle10911152394110114118127135[Mentions])</f>
        <v>80</v>
      </c>
      <c r="J22" s="21"/>
      <c r="K22" s="35"/>
    </row>
    <row r="23" spans="1:11" ht="21" customHeight="1" x14ac:dyDescent="0.45">
      <c r="A23" s="29" t="s">
        <v>780</v>
      </c>
      <c r="B23" s="6" t="s">
        <v>1556</v>
      </c>
      <c r="C23" s="6" t="s">
        <v>1561</v>
      </c>
      <c r="D23" s="8" t="s">
        <v>306</v>
      </c>
      <c r="E23" s="8" t="s">
        <v>281</v>
      </c>
      <c r="F23" s="10" t="s">
        <v>1543</v>
      </c>
      <c r="G23" s="43" t="s">
        <v>8</v>
      </c>
      <c r="H23" s="30"/>
      <c r="I23" s="30"/>
      <c r="J23" s="30"/>
      <c r="K23" s="35"/>
    </row>
    <row r="24" spans="1:11" ht="21" customHeight="1" x14ac:dyDescent="0.45">
      <c r="A24" s="29" t="s">
        <v>781</v>
      </c>
      <c r="B24" s="6"/>
      <c r="C24" s="6" t="s">
        <v>1562</v>
      </c>
      <c r="D24" s="8" t="s">
        <v>307</v>
      </c>
      <c r="E24" s="8" t="s">
        <v>284</v>
      </c>
      <c r="F24" s="10" t="s">
        <v>1565</v>
      </c>
      <c r="G24" s="43" t="s">
        <v>8</v>
      </c>
      <c r="H24" s="30"/>
      <c r="I24" s="30"/>
      <c r="J24" s="30"/>
      <c r="K24" s="33"/>
    </row>
    <row r="25" spans="1:11" ht="21" customHeight="1" x14ac:dyDescent="0.65">
      <c r="A25" s="29" t="s">
        <v>782</v>
      </c>
      <c r="B25" s="6" t="s">
        <v>1232</v>
      </c>
      <c r="C25" s="6" t="s">
        <v>1232</v>
      </c>
      <c r="D25" s="8" t="s">
        <v>474</v>
      </c>
      <c r="E25" s="8" t="s">
        <v>283</v>
      </c>
      <c r="F25" s="10" t="s">
        <v>283</v>
      </c>
      <c r="G25" s="43" t="s">
        <v>470</v>
      </c>
      <c r="H25" s="30"/>
      <c r="I25" s="36" t="s">
        <v>452</v>
      </c>
      <c r="J25" s="36"/>
      <c r="K25" s="30"/>
    </row>
    <row r="26" spans="1:11" ht="21" customHeight="1" x14ac:dyDescent="0.55000000000000004">
      <c r="A26" s="29" t="s">
        <v>783</v>
      </c>
      <c r="B26" s="6" t="s">
        <v>1555</v>
      </c>
      <c r="C26" s="6" t="s">
        <v>1562</v>
      </c>
      <c r="D26" s="8" t="s">
        <v>308</v>
      </c>
      <c r="E26" s="8" t="s">
        <v>281</v>
      </c>
      <c r="F26" s="10" t="s">
        <v>1543</v>
      </c>
      <c r="G26" s="43" t="s">
        <v>8</v>
      </c>
      <c r="H26" s="30"/>
      <c r="I26" s="19" t="s">
        <v>5</v>
      </c>
      <c r="J26" s="19" t="s">
        <v>3</v>
      </c>
      <c r="K26" s="30"/>
    </row>
    <row r="27" spans="1:11" ht="21" customHeight="1" x14ac:dyDescent="0.45">
      <c r="A27" s="29" t="s">
        <v>784</v>
      </c>
      <c r="B27" s="6" t="s">
        <v>1554</v>
      </c>
      <c r="C27" s="6" t="s">
        <v>1561</v>
      </c>
      <c r="D27" s="8" t="s">
        <v>309</v>
      </c>
      <c r="E27" s="8" t="s">
        <v>281</v>
      </c>
      <c r="F27" s="10" t="s">
        <v>1543</v>
      </c>
      <c r="G27" s="43" t="s">
        <v>8</v>
      </c>
      <c r="H27" s="30"/>
      <c r="I27" s="8">
        <f>COUNTIF(Tabelle12265397112116120129137[B - Theme],Tabelle10911111258796111115119128136[[#This Row],[Theme]])</f>
        <v>21</v>
      </c>
      <c r="J27" s="26" t="s">
        <v>281</v>
      </c>
      <c r="K27" s="30"/>
    </row>
    <row r="28" spans="1:11" ht="21" customHeight="1" x14ac:dyDescent="0.45">
      <c r="A28" s="29" t="s">
        <v>785</v>
      </c>
      <c r="B28" s="6" t="s">
        <v>1551</v>
      </c>
      <c r="C28" s="6" t="s">
        <v>1563</v>
      </c>
      <c r="D28" s="8" t="s">
        <v>310</v>
      </c>
      <c r="E28" s="8" t="s">
        <v>282</v>
      </c>
      <c r="F28" s="10" t="s">
        <v>1564</v>
      </c>
      <c r="G28" s="43" t="s">
        <v>8</v>
      </c>
      <c r="H28" s="30"/>
      <c r="I28" s="8">
        <f>COUNTIF(Tabelle12265397112116120129137[B - Theme],Tabelle10911111258796111115119128136[[#This Row],[Theme]])</f>
        <v>14</v>
      </c>
      <c r="J28" s="26" t="s">
        <v>282</v>
      </c>
      <c r="K28" s="30"/>
    </row>
    <row r="29" spans="1:11" ht="21" customHeight="1" x14ac:dyDescent="0.45">
      <c r="A29" s="29" t="s">
        <v>786</v>
      </c>
      <c r="B29" s="6" t="s">
        <v>1558</v>
      </c>
      <c r="C29" s="6" t="s">
        <v>1562</v>
      </c>
      <c r="D29" s="8" t="s">
        <v>311</v>
      </c>
      <c r="E29" s="8" t="s">
        <v>286</v>
      </c>
      <c r="F29" s="10" t="s">
        <v>1566</v>
      </c>
      <c r="G29" s="43" t="s">
        <v>8</v>
      </c>
      <c r="H29" s="30"/>
      <c r="I29" s="8">
        <f>COUNTIF(Tabelle12265397112116120129137[B - Theme],Tabelle10911111258796111115119128136[[#This Row],[Theme]])</f>
        <v>15</v>
      </c>
      <c r="J29" s="26" t="s">
        <v>284</v>
      </c>
      <c r="K29" s="30"/>
    </row>
    <row r="30" spans="1:11" ht="21" customHeight="1" x14ac:dyDescent="0.45">
      <c r="A30" s="29" t="s">
        <v>787</v>
      </c>
      <c r="B30" s="6" t="s">
        <v>1558</v>
      </c>
      <c r="C30" s="6" t="s">
        <v>1562</v>
      </c>
      <c r="D30" s="8" t="s">
        <v>312</v>
      </c>
      <c r="E30" s="8" t="s">
        <v>286</v>
      </c>
      <c r="F30" s="10" t="s">
        <v>1566</v>
      </c>
      <c r="G30" s="43" t="s">
        <v>8</v>
      </c>
      <c r="H30" s="30"/>
      <c r="I30" s="8">
        <f>COUNTIF(Tabelle12265397112116120129137[B - Theme],Tabelle10911111258796111115119128136[[#This Row],[Theme]])</f>
        <v>15</v>
      </c>
      <c r="J30" s="26" t="s">
        <v>285</v>
      </c>
      <c r="K30" s="30"/>
    </row>
    <row r="31" spans="1:11" ht="21" customHeight="1" x14ac:dyDescent="0.45">
      <c r="A31" s="29" t="s">
        <v>788</v>
      </c>
      <c r="B31" s="6" t="s">
        <v>1559</v>
      </c>
      <c r="C31" s="6" t="s">
        <v>1562</v>
      </c>
      <c r="D31" s="8" t="s">
        <v>313</v>
      </c>
      <c r="E31" s="8" t="s">
        <v>286</v>
      </c>
      <c r="F31" s="10" t="s">
        <v>1566</v>
      </c>
      <c r="G31" s="43" t="s">
        <v>8</v>
      </c>
      <c r="H31" s="30"/>
      <c r="I31" s="8">
        <f>COUNTIF(Tabelle12265397112116120129137[B - Theme],Tabelle10911111258796111115119128136[[#This Row],[Theme]])</f>
        <v>8</v>
      </c>
      <c r="J31" s="26" t="s">
        <v>286</v>
      </c>
      <c r="K31" s="30"/>
    </row>
    <row r="32" spans="1:11" ht="21" customHeight="1" x14ac:dyDescent="0.45">
      <c r="A32" s="29" t="s">
        <v>789</v>
      </c>
      <c r="B32" s="6" t="s">
        <v>1554</v>
      </c>
      <c r="C32" s="6" t="s">
        <v>1561</v>
      </c>
      <c r="D32" s="8" t="s">
        <v>314</v>
      </c>
      <c r="E32" s="8" t="s">
        <v>282</v>
      </c>
      <c r="F32" s="10" t="s">
        <v>1564</v>
      </c>
      <c r="G32" s="43" t="s">
        <v>8</v>
      </c>
      <c r="H32" s="30"/>
      <c r="I32" s="8">
        <f>COUNTIF(Tabelle12265397112116120129137[B - Theme],Tabelle10911111258796111115119128136[[#This Row],[Theme]])</f>
        <v>4</v>
      </c>
      <c r="J32" s="26" t="s">
        <v>259</v>
      </c>
      <c r="K32" s="30"/>
    </row>
    <row r="33" spans="1:11" ht="21" customHeight="1" x14ac:dyDescent="0.45">
      <c r="A33" s="29" t="s">
        <v>790</v>
      </c>
      <c r="B33" s="6" t="s">
        <v>1554</v>
      </c>
      <c r="C33" s="6" t="s">
        <v>1561</v>
      </c>
      <c r="D33" s="8" t="s">
        <v>315</v>
      </c>
      <c r="E33" s="8" t="s">
        <v>281</v>
      </c>
      <c r="F33" s="10" t="s">
        <v>1543</v>
      </c>
      <c r="G33" s="43" t="s">
        <v>8</v>
      </c>
      <c r="H33" s="30"/>
      <c r="I33" s="8">
        <f>COUNTIF(Tabelle12265397112116120129137[B - Theme],Tabelle10911111258796111115119128136[[#This Row],[Theme]])</f>
        <v>3</v>
      </c>
      <c r="J33" s="26" t="s">
        <v>283</v>
      </c>
      <c r="K33" s="30"/>
    </row>
    <row r="34" spans="1:11" ht="21" customHeight="1" x14ac:dyDescent="0.45">
      <c r="A34" s="29" t="s">
        <v>839</v>
      </c>
      <c r="B34" s="6" t="s">
        <v>1559</v>
      </c>
      <c r="C34" s="6" t="s">
        <v>1562</v>
      </c>
      <c r="D34" s="8" t="s">
        <v>316</v>
      </c>
      <c r="E34" s="8" t="s">
        <v>284</v>
      </c>
      <c r="F34" s="10" t="s">
        <v>1565</v>
      </c>
      <c r="G34" s="43" t="s">
        <v>8</v>
      </c>
      <c r="H34" s="30"/>
      <c r="I34" s="24">
        <f>SUM(Tabelle10911111258796111115119128136[Mentions])</f>
        <v>80</v>
      </c>
      <c r="J34" s="25"/>
      <c r="K34" s="30"/>
    </row>
    <row r="35" spans="1:11" ht="21" customHeight="1" x14ac:dyDescent="0.45">
      <c r="A35" s="29" t="s">
        <v>840</v>
      </c>
      <c r="B35" s="6" t="s">
        <v>1555</v>
      </c>
      <c r="C35" s="6" t="s">
        <v>1561</v>
      </c>
      <c r="D35" s="8" t="s">
        <v>317</v>
      </c>
      <c r="E35" s="8" t="s">
        <v>285</v>
      </c>
      <c r="F35" s="10" t="s">
        <v>450</v>
      </c>
      <c r="G35" s="43" t="s">
        <v>8</v>
      </c>
      <c r="H35" s="30"/>
      <c r="I35" s="30"/>
      <c r="J35" s="30"/>
      <c r="K35" s="30"/>
    </row>
    <row r="36" spans="1:11" ht="21" customHeight="1" x14ac:dyDescent="0.45">
      <c r="A36" s="29" t="s">
        <v>791</v>
      </c>
      <c r="B36" s="6" t="s">
        <v>1557</v>
      </c>
      <c r="C36" s="6" t="s">
        <v>1561</v>
      </c>
      <c r="D36" s="8" t="s">
        <v>318</v>
      </c>
      <c r="E36" s="8" t="s">
        <v>285</v>
      </c>
      <c r="F36" s="10" t="s">
        <v>450</v>
      </c>
      <c r="G36" s="43" t="s">
        <v>470</v>
      </c>
      <c r="H36" s="30"/>
      <c r="I36" s="30"/>
      <c r="J36" s="30"/>
      <c r="K36" s="30"/>
    </row>
    <row r="37" spans="1:11" ht="21" customHeight="1" x14ac:dyDescent="0.45">
      <c r="A37" s="29" t="s">
        <v>792</v>
      </c>
      <c r="B37" s="6" t="s">
        <v>259</v>
      </c>
      <c r="C37" s="6" t="s">
        <v>259</v>
      </c>
      <c r="D37" s="8" t="s">
        <v>319</v>
      </c>
      <c r="E37" s="8" t="s">
        <v>259</v>
      </c>
      <c r="F37" s="10" t="s">
        <v>259</v>
      </c>
      <c r="G37" s="43" t="s">
        <v>8</v>
      </c>
      <c r="H37" s="30"/>
      <c r="I37" s="30"/>
      <c r="J37" s="30"/>
      <c r="K37" s="30"/>
    </row>
    <row r="38" spans="1:11" ht="21" customHeight="1" x14ac:dyDescent="0.45">
      <c r="A38" s="29" t="s">
        <v>793</v>
      </c>
      <c r="B38" s="6" t="s">
        <v>1557</v>
      </c>
      <c r="C38" s="6" t="s">
        <v>1561</v>
      </c>
      <c r="D38" s="8" t="s">
        <v>320</v>
      </c>
      <c r="E38" s="8" t="s">
        <v>285</v>
      </c>
      <c r="F38" s="10" t="s">
        <v>450</v>
      </c>
      <c r="G38" s="43" t="s">
        <v>8</v>
      </c>
      <c r="H38" s="30"/>
      <c r="I38" s="30"/>
      <c r="J38" s="30"/>
      <c r="K38" s="30"/>
    </row>
    <row r="39" spans="1:11" ht="21" customHeight="1" x14ac:dyDescent="0.45">
      <c r="A39" s="29" t="s">
        <v>794</v>
      </c>
      <c r="B39" s="6" t="s">
        <v>1557</v>
      </c>
      <c r="C39" s="6" t="s">
        <v>1561</v>
      </c>
      <c r="D39" s="8" t="s">
        <v>321</v>
      </c>
      <c r="E39" s="8" t="s">
        <v>285</v>
      </c>
      <c r="F39" s="10" t="s">
        <v>1564</v>
      </c>
      <c r="G39" s="43" t="s">
        <v>8</v>
      </c>
      <c r="H39" s="30"/>
      <c r="I39" s="30"/>
      <c r="J39" s="30"/>
      <c r="K39" s="30"/>
    </row>
    <row r="40" spans="1:11" ht="21" customHeight="1" x14ac:dyDescent="0.45">
      <c r="A40" s="29" t="s">
        <v>795</v>
      </c>
      <c r="B40" s="6" t="s">
        <v>1556</v>
      </c>
      <c r="C40" s="6" t="s">
        <v>1562</v>
      </c>
      <c r="D40" s="8" t="s">
        <v>322</v>
      </c>
      <c r="E40" s="8" t="s">
        <v>284</v>
      </c>
      <c r="F40" s="10" t="s">
        <v>1565</v>
      </c>
      <c r="G40" s="43" t="s">
        <v>470</v>
      </c>
      <c r="H40" s="30"/>
      <c r="I40" s="30"/>
      <c r="J40" s="30"/>
      <c r="K40" s="30"/>
    </row>
    <row r="41" spans="1:11" ht="21" customHeight="1" x14ac:dyDescent="0.45">
      <c r="A41" s="29" t="s">
        <v>796</v>
      </c>
      <c r="B41" s="6" t="s">
        <v>1558</v>
      </c>
      <c r="C41" s="6" t="s">
        <v>1562</v>
      </c>
      <c r="D41" s="8" t="s">
        <v>323</v>
      </c>
      <c r="E41" s="8" t="s">
        <v>286</v>
      </c>
      <c r="F41" s="10" t="s">
        <v>1566</v>
      </c>
      <c r="G41" s="43" t="s">
        <v>471</v>
      </c>
      <c r="H41" s="30"/>
      <c r="I41" s="30"/>
      <c r="J41" s="30"/>
      <c r="K41" s="30"/>
    </row>
    <row r="42" spans="1:11" ht="21" customHeight="1" x14ac:dyDescent="0.45">
      <c r="A42" s="29" t="s">
        <v>797</v>
      </c>
      <c r="B42" s="6" t="s">
        <v>1557</v>
      </c>
      <c r="C42" s="6" t="s">
        <v>1561</v>
      </c>
      <c r="D42" s="8" t="s">
        <v>324</v>
      </c>
      <c r="E42" s="8" t="s">
        <v>285</v>
      </c>
      <c r="F42" s="10" t="s">
        <v>450</v>
      </c>
      <c r="G42" s="43" t="s">
        <v>470</v>
      </c>
      <c r="H42" s="30"/>
      <c r="I42" s="30"/>
      <c r="J42" s="30"/>
      <c r="K42" s="30"/>
    </row>
    <row r="43" spans="1:11" ht="21" customHeight="1" x14ac:dyDescent="0.45">
      <c r="A43" s="29" t="s">
        <v>798</v>
      </c>
      <c r="B43" s="6" t="s">
        <v>1557</v>
      </c>
      <c r="C43" s="6" t="s">
        <v>1561</v>
      </c>
      <c r="D43" s="8" t="s">
        <v>325</v>
      </c>
      <c r="E43" s="8" t="s">
        <v>285</v>
      </c>
      <c r="F43" s="10" t="s">
        <v>450</v>
      </c>
      <c r="G43" s="43" t="s">
        <v>470</v>
      </c>
      <c r="H43" s="30"/>
      <c r="I43" s="30"/>
      <c r="J43" s="30"/>
      <c r="K43" s="30"/>
    </row>
    <row r="44" spans="1:11" ht="21" customHeight="1" x14ac:dyDescent="0.45">
      <c r="A44" s="29" t="s">
        <v>799</v>
      </c>
      <c r="B44" s="6" t="s">
        <v>259</v>
      </c>
      <c r="C44" s="6" t="s">
        <v>1561</v>
      </c>
      <c r="D44" s="8" t="s">
        <v>326</v>
      </c>
      <c r="E44" s="8" t="s">
        <v>259</v>
      </c>
      <c r="F44" s="10" t="s">
        <v>259</v>
      </c>
      <c r="G44" s="43" t="s">
        <v>8</v>
      </c>
      <c r="H44" s="30"/>
      <c r="I44" s="30"/>
      <c r="J44" s="30"/>
      <c r="K44" s="30"/>
    </row>
    <row r="45" spans="1:11" ht="21" customHeight="1" x14ac:dyDescent="0.45">
      <c r="A45" s="29" t="s">
        <v>800</v>
      </c>
      <c r="B45" s="6" t="s">
        <v>1554</v>
      </c>
      <c r="C45" s="6" t="s">
        <v>1561</v>
      </c>
      <c r="D45" s="8" t="s">
        <v>327</v>
      </c>
      <c r="E45" s="8" t="s">
        <v>281</v>
      </c>
      <c r="F45" s="10" t="s">
        <v>1543</v>
      </c>
      <c r="G45" s="43" t="s">
        <v>8</v>
      </c>
      <c r="H45" s="30"/>
      <c r="I45" s="30"/>
      <c r="J45" s="30"/>
      <c r="K45" s="30"/>
    </row>
    <row r="46" spans="1:11" ht="21" customHeight="1" x14ac:dyDescent="0.45">
      <c r="A46" s="29" t="s">
        <v>801</v>
      </c>
      <c r="B46" s="6" t="s">
        <v>1558</v>
      </c>
      <c r="C46" s="6" t="s">
        <v>1562</v>
      </c>
      <c r="D46" s="8" t="s">
        <v>328</v>
      </c>
      <c r="E46" s="8" t="s">
        <v>284</v>
      </c>
      <c r="F46" s="10" t="s">
        <v>1565</v>
      </c>
      <c r="G46" s="43" t="s">
        <v>8</v>
      </c>
      <c r="H46" s="30"/>
      <c r="I46" s="30"/>
      <c r="J46" s="30"/>
      <c r="K46" s="30"/>
    </row>
    <row r="47" spans="1:11" ht="21" customHeight="1" x14ac:dyDescent="0.45">
      <c r="A47" s="29" t="s">
        <v>802</v>
      </c>
      <c r="B47" s="6" t="s">
        <v>1551</v>
      </c>
      <c r="C47" s="6" t="s">
        <v>1563</v>
      </c>
      <c r="D47" s="8" t="s">
        <v>305</v>
      </c>
      <c r="E47" s="8" t="s">
        <v>282</v>
      </c>
      <c r="F47" s="10" t="s">
        <v>1564</v>
      </c>
      <c r="G47" s="43" t="s">
        <v>8</v>
      </c>
      <c r="H47" s="30"/>
      <c r="I47" s="30"/>
      <c r="J47" s="30"/>
      <c r="K47" s="30"/>
    </row>
    <row r="48" spans="1:11" ht="21" customHeight="1" x14ac:dyDescent="0.45">
      <c r="A48" s="29" t="s">
        <v>803</v>
      </c>
      <c r="B48" s="6" t="s">
        <v>1554</v>
      </c>
      <c r="C48" s="6" t="s">
        <v>1561</v>
      </c>
      <c r="D48" s="8" t="s">
        <v>329</v>
      </c>
      <c r="E48" s="8" t="s">
        <v>281</v>
      </c>
      <c r="F48" s="10" t="s">
        <v>1543</v>
      </c>
      <c r="G48" s="43" t="s">
        <v>8</v>
      </c>
      <c r="H48" s="30"/>
      <c r="I48" s="30"/>
      <c r="J48" s="30"/>
      <c r="K48" s="30"/>
    </row>
    <row r="49" spans="1:11" ht="21" customHeight="1" x14ac:dyDescent="0.45">
      <c r="A49" s="29" t="s">
        <v>804</v>
      </c>
      <c r="B49" s="6" t="s">
        <v>1557</v>
      </c>
      <c r="C49" s="6" t="s">
        <v>1561</v>
      </c>
      <c r="D49" s="8" t="s">
        <v>330</v>
      </c>
      <c r="E49" s="8" t="s">
        <v>285</v>
      </c>
      <c r="F49" s="10" t="s">
        <v>450</v>
      </c>
      <c r="G49" s="43" t="s">
        <v>8</v>
      </c>
      <c r="H49" s="30"/>
      <c r="I49" s="30"/>
      <c r="J49" s="30"/>
      <c r="K49" s="30"/>
    </row>
    <row r="50" spans="1:11" ht="21" customHeight="1" x14ac:dyDescent="0.45">
      <c r="A50" s="29" t="s">
        <v>805</v>
      </c>
      <c r="B50" s="6" t="s">
        <v>1557</v>
      </c>
      <c r="C50" s="6" t="s">
        <v>1561</v>
      </c>
      <c r="D50" s="8" t="s">
        <v>331</v>
      </c>
      <c r="E50" s="8" t="s">
        <v>285</v>
      </c>
      <c r="F50" s="10" t="s">
        <v>450</v>
      </c>
      <c r="G50" s="43" t="s">
        <v>470</v>
      </c>
      <c r="H50" s="30"/>
      <c r="I50" s="30"/>
      <c r="J50" s="30"/>
      <c r="K50" s="30"/>
    </row>
    <row r="51" spans="1:11" ht="21" customHeight="1" x14ac:dyDescent="0.45">
      <c r="A51" s="29" t="s">
        <v>806</v>
      </c>
      <c r="B51" s="6" t="s">
        <v>259</v>
      </c>
      <c r="C51" s="6" t="s">
        <v>259</v>
      </c>
      <c r="D51" s="8" t="s">
        <v>332</v>
      </c>
      <c r="E51" s="8" t="s">
        <v>282</v>
      </c>
      <c r="F51" s="10" t="s">
        <v>1564</v>
      </c>
      <c r="G51" s="43" t="s">
        <v>8</v>
      </c>
      <c r="H51" s="30"/>
      <c r="I51" s="30"/>
      <c r="J51" s="30"/>
      <c r="K51" s="30"/>
    </row>
    <row r="52" spans="1:11" ht="21" customHeight="1" x14ac:dyDescent="0.45">
      <c r="A52" s="29" t="s">
        <v>807</v>
      </c>
      <c r="B52" s="6" t="s">
        <v>1232</v>
      </c>
      <c r="C52" s="6" t="s">
        <v>1232</v>
      </c>
      <c r="D52" s="8" t="s">
        <v>333</v>
      </c>
      <c r="E52" s="8" t="s">
        <v>283</v>
      </c>
      <c r="F52" s="10" t="s">
        <v>283</v>
      </c>
      <c r="G52" s="43" t="s">
        <v>8</v>
      </c>
      <c r="H52" s="30"/>
      <c r="I52" s="30"/>
      <c r="J52" s="30"/>
      <c r="K52" s="30"/>
    </row>
    <row r="53" spans="1:11" ht="21" customHeight="1" x14ac:dyDescent="0.45">
      <c r="A53" s="29" t="s">
        <v>808</v>
      </c>
      <c r="B53" s="6" t="s">
        <v>1557</v>
      </c>
      <c r="C53" s="6" t="s">
        <v>1561</v>
      </c>
      <c r="D53" s="8" t="s">
        <v>334</v>
      </c>
      <c r="E53" s="8" t="s">
        <v>282</v>
      </c>
      <c r="F53" s="10" t="s">
        <v>1564</v>
      </c>
      <c r="G53" s="43" t="s">
        <v>8</v>
      </c>
      <c r="H53" s="30"/>
      <c r="I53" s="30"/>
      <c r="J53" s="30"/>
      <c r="K53" s="30"/>
    </row>
    <row r="54" spans="1:11" ht="21" customHeight="1" x14ac:dyDescent="0.45">
      <c r="A54" s="29" t="s">
        <v>809</v>
      </c>
      <c r="B54" s="6" t="s">
        <v>1557</v>
      </c>
      <c r="C54" s="6" t="s">
        <v>1561</v>
      </c>
      <c r="D54" s="8" t="s">
        <v>335</v>
      </c>
      <c r="E54" s="8" t="s">
        <v>285</v>
      </c>
      <c r="F54" s="10" t="s">
        <v>450</v>
      </c>
      <c r="G54" s="43" t="s">
        <v>8</v>
      </c>
      <c r="H54" s="30"/>
      <c r="I54" s="30"/>
      <c r="J54" s="30"/>
      <c r="K54" s="30"/>
    </row>
    <row r="55" spans="1:11" ht="21" customHeight="1" x14ac:dyDescent="0.45">
      <c r="A55" s="29" t="s">
        <v>810</v>
      </c>
      <c r="B55" s="6" t="s">
        <v>1557</v>
      </c>
      <c r="C55" s="6" t="s">
        <v>1561</v>
      </c>
      <c r="D55" s="8" t="s">
        <v>336</v>
      </c>
      <c r="E55" s="8" t="s">
        <v>285</v>
      </c>
      <c r="F55" s="10" t="s">
        <v>450</v>
      </c>
      <c r="G55" s="43" t="s">
        <v>8</v>
      </c>
      <c r="H55" s="30"/>
      <c r="I55" s="30"/>
      <c r="J55" s="30"/>
      <c r="K55" s="30"/>
    </row>
    <row r="56" spans="1:11" ht="21" customHeight="1" x14ac:dyDescent="0.45">
      <c r="A56" s="29" t="s">
        <v>811</v>
      </c>
      <c r="B56" s="6" t="s">
        <v>1557</v>
      </c>
      <c r="C56" s="6" t="s">
        <v>1561</v>
      </c>
      <c r="D56" s="8" t="s">
        <v>337</v>
      </c>
      <c r="E56" s="8" t="s">
        <v>285</v>
      </c>
      <c r="F56" s="10" t="s">
        <v>450</v>
      </c>
      <c r="G56" s="43" t="s">
        <v>8</v>
      </c>
      <c r="H56" s="30"/>
      <c r="I56" s="30"/>
      <c r="J56" s="30"/>
      <c r="K56" s="30"/>
    </row>
    <row r="57" spans="1:11" ht="21" customHeight="1" x14ac:dyDescent="0.45">
      <c r="A57" s="29" t="s">
        <v>812</v>
      </c>
      <c r="B57" s="6" t="s">
        <v>1554</v>
      </c>
      <c r="C57" s="6" t="s">
        <v>1561</v>
      </c>
      <c r="D57" s="8" t="s">
        <v>300</v>
      </c>
      <c r="E57" s="8" t="s">
        <v>281</v>
      </c>
      <c r="F57" s="10" t="s">
        <v>1543</v>
      </c>
      <c r="G57" s="43" t="s">
        <v>8</v>
      </c>
      <c r="H57" s="30"/>
      <c r="I57" s="30"/>
      <c r="J57" s="30"/>
      <c r="K57" s="30"/>
    </row>
    <row r="58" spans="1:11" ht="21" customHeight="1" x14ac:dyDescent="0.45">
      <c r="A58" s="29" t="s">
        <v>813</v>
      </c>
      <c r="B58" s="6" t="s">
        <v>1556</v>
      </c>
      <c r="C58" s="6" t="s">
        <v>1562</v>
      </c>
      <c r="D58" s="8" t="s">
        <v>338</v>
      </c>
      <c r="E58" s="8" t="s">
        <v>284</v>
      </c>
      <c r="F58" s="10" t="s">
        <v>1565</v>
      </c>
      <c r="G58" s="43" t="s">
        <v>8</v>
      </c>
      <c r="H58" s="30"/>
      <c r="I58" s="30"/>
      <c r="J58" s="30"/>
      <c r="K58" s="30"/>
    </row>
    <row r="59" spans="1:11" ht="21" customHeight="1" x14ac:dyDescent="0.45">
      <c r="A59" s="29" t="s">
        <v>814</v>
      </c>
      <c r="B59" s="6" t="s">
        <v>1551</v>
      </c>
      <c r="C59" s="6" t="s">
        <v>1563</v>
      </c>
      <c r="D59" s="8" t="s">
        <v>339</v>
      </c>
      <c r="E59" s="8" t="s">
        <v>286</v>
      </c>
      <c r="F59" s="10" t="s">
        <v>1566</v>
      </c>
      <c r="G59" s="43" t="s">
        <v>8</v>
      </c>
      <c r="H59" s="30"/>
      <c r="I59" s="30"/>
      <c r="J59" s="30"/>
      <c r="K59" s="30"/>
    </row>
    <row r="60" spans="1:11" ht="21" customHeight="1" x14ac:dyDescent="0.45">
      <c r="A60" s="29" t="s">
        <v>815</v>
      </c>
      <c r="B60" s="6" t="s">
        <v>1556</v>
      </c>
      <c r="C60" s="6" t="s">
        <v>1562</v>
      </c>
      <c r="D60" s="8" t="s">
        <v>340</v>
      </c>
      <c r="E60" s="8" t="s">
        <v>281</v>
      </c>
      <c r="F60" s="10" t="s">
        <v>1543</v>
      </c>
      <c r="G60" s="43" t="s">
        <v>8</v>
      </c>
      <c r="H60" s="30"/>
      <c r="I60" s="30"/>
      <c r="J60" s="30"/>
      <c r="K60" s="30"/>
    </row>
    <row r="61" spans="1:11" ht="21" customHeight="1" x14ac:dyDescent="0.45">
      <c r="A61" s="29" t="s">
        <v>816</v>
      </c>
      <c r="B61" s="6" t="s">
        <v>1551</v>
      </c>
      <c r="C61" s="6" t="s">
        <v>1563</v>
      </c>
      <c r="D61" s="8" t="s">
        <v>341</v>
      </c>
      <c r="E61" s="8" t="s">
        <v>282</v>
      </c>
      <c r="F61" s="10" t="s">
        <v>1564</v>
      </c>
      <c r="G61" s="43" t="s">
        <v>8</v>
      </c>
      <c r="H61" s="30"/>
      <c r="I61" s="30"/>
      <c r="J61" s="30"/>
      <c r="K61" s="30"/>
    </row>
    <row r="62" spans="1:11" ht="21" customHeight="1" x14ac:dyDescent="0.45">
      <c r="A62" s="29" t="s">
        <v>817</v>
      </c>
      <c r="B62" s="6" t="s">
        <v>1556</v>
      </c>
      <c r="C62" s="6" t="s">
        <v>1562</v>
      </c>
      <c r="D62" s="8" t="s">
        <v>342</v>
      </c>
      <c r="E62" s="8" t="s">
        <v>284</v>
      </c>
      <c r="F62" s="10" t="s">
        <v>1565</v>
      </c>
      <c r="G62" s="43" t="s">
        <v>8</v>
      </c>
      <c r="H62" s="30"/>
      <c r="I62" s="30"/>
      <c r="J62" s="30"/>
      <c r="K62" s="30"/>
    </row>
    <row r="63" spans="1:11" ht="21" customHeight="1" x14ac:dyDescent="0.45">
      <c r="A63" s="29" t="s">
        <v>818</v>
      </c>
      <c r="B63" s="6" t="s">
        <v>1556</v>
      </c>
      <c r="C63" s="6" t="s">
        <v>1562</v>
      </c>
      <c r="D63" s="8" t="s">
        <v>343</v>
      </c>
      <c r="E63" s="8" t="s">
        <v>286</v>
      </c>
      <c r="F63" s="10" t="s">
        <v>1566</v>
      </c>
      <c r="G63" s="43" t="s">
        <v>8</v>
      </c>
      <c r="H63" s="30"/>
      <c r="I63" s="30"/>
      <c r="J63" s="30"/>
      <c r="K63" s="30"/>
    </row>
    <row r="64" spans="1:11" ht="21" customHeight="1" x14ac:dyDescent="0.45">
      <c r="A64" s="29" t="s">
        <v>819</v>
      </c>
      <c r="B64" s="6" t="s">
        <v>259</v>
      </c>
      <c r="C64" s="6" t="s">
        <v>259</v>
      </c>
      <c r="D64" s="8" t="s">
        <v>344</v>
      </c>
      <c r="E64" s="8" t="s">
        <v>259</v>
      </c>
      <c r="F64" s="10" t="s">
        <v>259</v>
      </c>
      <c r="G64" s="43" t="s">
        <v>8</v>
      </c>
      <c r="H64" s="30"/>
      <c r="I64" s="30"/>
      <c r="J64" s="30"/>
      <c r="K64" s="30"/>
    </row>
    <row r="65" spans="1:11" ht="21" customHeight="1" x14ac:dyDescent="0.45">
      <c r="A65" s="29" t="s">
        <v>820</v>
      </c>
      <c r="B65" s="6" t="s">
        <v>259</v>
      </c>
      <c r="C65" s="6" t="s">
        <v>259</v>
      </c>
      <c r="D65" s="8" t="s">
        <v>345</v>
      </c>
      <c r="E65" s="8" t="s">
        <v>259</v>
      </c>
      <c r="F65" s="10" t="s">
        <v>259</v>
      </c>
      <c r="G65" s="43" t="s">
        <v>8</v>
      </c>
      <c r="H65" s="30"/>
      <c r="I65" s="30"/>
      <c r="J65" s="30"/>
      <c r="K65" s="30"/>
    </row>
    <row r="66" spans="1:11" ht="21" customHeight="1" x14ac:dyDescent="0.45">
      <c r="A66" s="29" t="s">
        <v>821</v>
      </c>
      <c r="B66" s="6" t="s">
        <v>1554</v>
      </c>
      <c r="C66" s="6" t="s">
        <v>1561</v>
      </c>
      <c r="D66" s="8" t="s">
        <v>346</v>
      </c>
      <c r="E66" s="8" t="s">
        <v>281</v>
      </c>
      <c r="F66" s="10" t="s">
        <v>1543</v>
      </c>
      <c r="G66" s="43" t="s">
        <v>8</v>
      </c>
      <c r="H66" s="30"/>
      <c r="I66" s="30"/>
      <c r="J66" s="30"/>
      <c r="K66" s="30"/>
    </row>
    <row r="67" spans="1:11" ht="21" customHeight="1" x14ac:dyDescent="0.45">
      <c r="A67" s="29" t="s">
        <v>822</v>
      </c>
      <c r="B67" s="6" t="s">
        <v>117</v>
      </c>
      <c r="C67" s="6" t="s">
        <v>117</v>
      </c>
      <c r="D67" s="8" t="s">
        <v>475</v>
      </c>
      <c r="E67" s="8" t="s">
        <v>285</v>
      </c>
      <c r="F67" s="10" t="s">
        <v>450</v>
      </c>
      <c r="G67" s="43" t="s">
        <v>470</v>
      </c>
      <c r="H67" s="30"/>
      <c r="I67" s="30"/>
      <c r="J67" s="30"/>
      <c r="K67" s="30"/>
    </row>
    <row r="68" spans="1:11" ht="21" customHeight="1" x14ac:dyDescent="0.45">
      <c r="A68" s="29" t="s">
        <v>823</v>
      </c>
      <c r="B68" s="6" t="s">
        <v>1554</v>
      </c>
      <c r="C68" s="6" t="s">
        <v>1561</v>
      </c>
      <c r="D68" s="8" t="s">
        <v>347</v>
      </c>
      <c r="E68" s="8" t="s">
        <v>281</v>
      </c>
      <c r="F68" s="10" t="s">
        <v>1543</v>
      </c>
      <c r="G68" s="43" t="s">
        <v>471</v>
      </c>
      <c r="H68" s="30"/>
      <c r="I68" s="30"/>
      <c r="J68" s="30"/>
      <c r="K68" s="30"/>
    </row>
    <row r="69" spans="1:11" ht="21" customHeight="1" x14ac:dyDescent="0.45">
      <c r="A69" s="29" t="s">
        <v>824</v>
      </c>
      <c r="B69" s="6" t="s">
        <v>1556</v>
      </c>
      <c r="C69" s="6" t="s">
        <v>1562</v>
      </c>
      <c r="D69" s="8" t="s">
        <v>348</v>
      </c>
      <c r="E69" s="8" t="s">
        <v>284</v>
      </c>
      <c r="F69" s="10" t="s">
        <v>1565</v>
      </c>
      <c r="G69" s="43" t="s">
        <v>471</v>
      </c>
      <c r="H69" s="30"/>
      <c r="I69" s="30"/>
      <c r="J69" s="30"/>
      <c r="K69" s="30"/>
    </row>
    <row r="70" spans="1:11" ht="21" customHeight="1" x14ac:dyDescent="0.45">
      <c r="A70" s="29" t="s">
        <v>825</v>
      </c>
      <c r="B70" s="6" t="s">
        <v>1556</v>
      </c>
      <c r="C70" s="6" t="s">
        <v>1562</v>
      </c>
      <c r="D70" s="8" t="s">
        <v>349</v>
      </c>
      <c r="E70" s="8" t="s">
        <v>284</v>
      </c>
      <c r="F70" s="10" t="s">
        <v>1565</v>
      </c>
      <c r="G70" s="43" t="s">
        <v>470</v>
      </c>
      <c r="H70" s="30"/>
      <c r="I70" s="30"/>
      <c r="J70" s="30"/>
      <c r="K70" s="30"/>
    </row>
    <row r="71" spans="1:11" ht="21" customHeight="1" x14ac:dyDescent="0.45">
      <c r="A71" s="29" t="s">
        <v>826</v>
      </c>
      <c r="B71" s="6" t="s">
        <v>1554</v>
      </c>
      <c r="C71" s="6" t="s">
        <v>1561</v>
      </c>
      <c r="D71" s="8" t="s">
        <v>350</v>
      </c>
      <c r="E71" s="8" t="s">
        <v>281</v>
      </c>
      <c r="F71" s="10" t="s">
        <v>1543</v>
      </c>
      <c r="G71" s="43" t="s">
        <v>471</v>
      </c>
      <c r="H71" s="30"/>
      <c r="I71" s="30"/>
      <c r="J71" s="30"/>
      <c r="K71" s="30"/>
    </row>
    <row r="72" spans="1:11" ht="21" customHeight="1" x14ac:dyDescent="0.45">
      <c r="A72" s="29" t="s">
        <v>827</v>
      </c>
      <c r="B72" s="6" t="s">
        <v>1558</v>
      </c>
      <c r="C72" s="6" t="s">
        <v>1562</v>
      </c>
      <c r="D72" s="8" t="s">
        <v>351</v>
      </c>
      <c r="E72" s="8" t="s">
        <v>284</v>
      </c>
      <c r="F72" s="10" t="s">
        <v>1565</v>
      </c>
      <c r="G72" s="43" t="s">
        <v>8</v>
      </c>
      <c r="H72" s="30"/>
      <c r="I72" s="30"/>
      <c r="J72" s="30"/>
      <c r="K72" s="30"/>
    </row>
    <row r="73" spans="1:11" ht="21" customHeight="1" x14ac:dyDescent="0.45">
      <c r="A73" s="29" t="s">
        <v>828</v>
      </c>
      <c r="B73" s="6" t="s">
        <v>1554</v>
      </c>
      <c r="C73" s="6" t="s">
        <v>1561</v>
      </c>
      <c r="D73" s="8" t="s">
        <v>303</v>
      </c>
      <c r="E73" s="8" t="s">
        <v>281</v>
      </c>
      <c r="F73" s="10" t="s">
        <v>1543</v>
      </c>
      <c r="G73" s="43" t="s">
        <v>8</v>
      </c>
      <c r="H73" s="30"/>
      <c r="I73" s="30"/>
      <c r="J73" s="30"/>
      <c r="K73" s="30"/>
    </row>
    <row r="74" spans="1:11" ht="21" customHeight="1" x14ac:dyDescent="0.45">
      <c r="A74" s="29" t="s">
        <v>829</v>
      </c>
      <c r="B74" s="6" t="s">
        <v>1551</v>
      </c>
      <c r="C74" s="6" t="s">
        <v>1561</v>
      </c>
      <c r="D74" s="8" t="s">
        <v>352</v>
      </c>
      <c r="E74" s="8" t="s">
        <v>282</v>
      </c>
      <c r="F74" s="10" t="s">
        <v>1564</v>
      </c>
      <c r="G74" s="43" t="s">
        <v>8</v>
      </c>
      <c r="H74" s="30"/>
      <c r="I74" s="30"/>
      <c r="J74" s="30"/>
      <c r="K74" s="30"/>
    </row>
    <row r="75" spans="1:11" ht="21" customHeight="1" x14ac:dyDescent="0.45">
      <c r="A75" s="29" t="s">
        <v>830</v>
      </c>
      <c r="B75" s="6" t="s">
        <v>117</v>
      </c>
      <c r="C75" s="6" t="s">
        <v>117</v>
      </c>
      <c r="D75" s="8" t="s">
        <v>353</v>
      </c>
      <c r="E75" s="8" t="s">
        <v>285</v>
      </c>
      <c r="F75" s="10" t="s">
        <v>450</v>
      </c>
      <c r="G75" s="43" t="s">
        <v>470</v>
      </c>
      <c r="H75" s="30"/>
      <c r="I75" s="30"/>
      <c r="J75" s="30"/>
      <c r="K75" s="30"/>
    </row>
    <row r="76" spans="1:11" ht="21" customHeight="1" x14ac:dyDescent="0.45">
      <c r="A76" s="29" t="s">
        <v>831</v>
      </c>
      <c r="B76" s="6" t="s">
        <v>1554</v>
      </c>
      <c r="C76" s="6" t="s">
        <v>1561</v>
      </c>
      <c r="D76" s="8" t="s">
        <v>354</v>
      </c>
      <c r="E76" s="8" t="s">
        <v>282</v>
      </c>
      <c r="F76" s="10" t="s">
        <v>1564</v>
      </c>
      <c r="G76" s="43" t="s">
        <v>8</v>
      </c>
      <c r="H76" s="30"/>
      <c r="I76" s="30"/>
      <c r="J76" s="30"/>
      <c r="K76" s="30"/>
    </row>
    <row r="77" spans="1:11" ht="21" customHeight="1" x14ac:dyDescent="0.45">
      <c r="A77" s="29" t="s">
        <v>832</v>
      </c>
      <c r="B77" s="6" t="s">
        <v>117</v>
      </c>
      <c r="C77" s="6" t="s">
        <v>117</v>
      </c>
      <c r="D77" s="8" t="s">
        <v>355</v>
      </c>
      <c r="E77" s="8" t="s">
        <v>286</v>
      </c>
      <c r="F77" s="10" t="s">
        <v>1566</v>
      </c>
      <c r="G77" s="43" t="s">
        <v>8</v>
      </c>
      <c r="H77" s="30"/>
      <c r="I77" s="30"/>
      <c r="J77" s="30"/>
      <c r="K77" s="30"/>
    </row>
    <row r="78" spans="1:11" ht="21" customHeight="1" x14ac:dyDescent="0.45">
      <c r="A78" s="29" t="s">
        <v>833</v>
      </c>
      <c r="B78" s="6" t="s">
        <v>1232</v>
      </c>
      <c r="C78" s="6" t="s">
        <v>1232</v>
      </c>
      <c r="D78" s="8" t="s">
        <v>356</v>
      </c>
      <c r="E78" s="8" t="s">
        <v>282</v>
      </c>
      <c r="F78" s="10" t="s">
        <v>1564</v>
      </c>
      <c r="G78" s="43" t="s">
        <v>8</v>
      </c>
      <c r="H78" s="30"/>
      <c r="I78" s="30"/>
      <c r="J78" s="30"/>
      <c r="K78" s="30"/>
    </row>
    <row r="79" spans="1:11" ht="21" customHeight="1" x14ac:dyDescent="0.45">
      <c r="A79" s="29" t="s">
        <v>834</v>
      </c>
      <c r="B79" s="6" t="s">
        <v>259</v>
      </c>
      <c r="C79" s="6" t="s">
        <v>1562</v>
      </c>
      <c r="D79" s="8" t="s">
        <v>357</v>
      </c>
      <c r="E79" s="8" t="s">
        <v>284</v>
      </c>
      <c r="F79" s="10" t="s">
        <v>1565</v>
      </c>
      <c r="G79" s="43" t="s">
        <v>8</v>
      </c>
      <c r="H79" s="30"/>
      <c r="I79" s="30"/>
      <c r="J79" s="30"/>
      <c r="K79" s="30"/>
    </row>
    <row r="80" spans="1:11" ht="21" customHeight="1" x14ac:dyDescent="0.45">
      <c r="A80" s="29" t="s">
        <v>835</v>
      </c>
      <c r="B80" s="6" t="s">
        <v>1556</v>
      </c>
      <c r="C80" s="6" t="s">
        <v>1562</v>
      </c>
      <c r="D80" s="8" t="s">
        <v>358</v>
      </c>
      <c r="E80" s="8" t="s">
        <v>284</v>
      </c>
      <c r="F80" s="10" t="s">
        <v>1565</v>
      </c>
      <c r="G80" s="43" t="s">
        <v>8</v>
      </c>
      <c r="H80" s="30"/>
      <c r="I80" s="30"/>
      <c r="J80" s="30"/>
      <c r="K80" s="30"/>
    </row>
    <row r="81" spans="1:11" ht="21" customHeight="1" x14ac:dyDescent="0.45">
      <c r="A81" s="29" t="s">
        <v>836</v>
      </c>
      <c r="B81" s="6" t="s">
        <v>1556</v>
      </c>
      <c r="C81" s="6" t="s">
        <v>1562</v>
      </c>
      <c r="D81" s="8" t="s">
        <v>359</v>
      </c>
      <c r="E81" s="8" t="s">
        <v>284</v>
      </c>
      <c r="F81" s="10" t="s">
        <v>1565</v>
      </c>
      <c r="G81" s="43" t="s">
        <v>471</v>
      </c>
      <c r="H81" s="30"/>
      <c r="I81" s="30"/>
      <c r="J81" s="30"/>
      <c r="K81" s="30"/>
    </row>
    <row r="82" spans="1:11" ht="21" customHeight="1" x14ac:dyDescent="0.45">
      <c r="A82" s="29" t="s">
        <v>837</v>
      </c>
      <c r="B82" s="6" t="s">
        <v>117</v>
      </c>
      <c r="C82" s="6" t="s">
        <v>117</v>
      </c>
      <c r="D82" s="8" t="s">
        <v>360</v>
      </c>
      <c r="E82" s="8" t="s">
        <v>285</v>
      </c>
      <c r="F82" s="10" t="s">
        <v>450</v>
      </c>
      <c r="G82" s="43" t="s">
        <v>471</v>
      </c>
      <c r="H82" s="30"/>
      <c r="I82" s="30"/>
      <c r="J82" s="30"/>
      <c r="K82" s="30"/>
    </row>
    <row r="83" spans="1:11" ht="21" customHeight="1" x14ac:dyDescent="0.45">
      <c r="A83" s="29" t="s">
        <v>838</v>
      </c>
      <c r="B83" s="6" t="s">
        <v>1560</v>
      </c>
      <c r="C83" s="6" t="s">
        <v>1562</v>
      </c>
      <c r="D83" s="8" t="s">
        <v>361</v>
      </c>
      <c r="E83" s="8" t="s">
        <v>281</v>
      </c>
      <c r="F83" s="10" t="s">
        <v>1543</v>
      </c>
      <c r="G83" s="43" t="s">
        <v>471</v>
      </c>
      <c r="H83" s="30"/>
      <c r="I83" s="30"/>
      <c r="J83" s="30"/>
      <c r="K83" s="30"/>
    </row>
  </sheetData>
  <mergeCells count="3">
    <mergeCell ref="B2:C2"/>
    <mergeCell ref="D2:E2"/>
    <mergeCell ref="I14:J14"/>
  </mergeCells>
  <pageMargins left="0.7" right="0.7" top="0.78740157499999996" bottom="0.78740157499999996"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C5D50-0215-4CCF-BBC9-13D566804CEC}">
  <dimension ref="A1:K83"/>
  <sheetViews>
    <sheetView zoomScale="70" zoomScaleNormal="70" workbookViewId="0">
      <selection activeCell="A4" sqref="A4"/>
    </sheetView>
  </sheetViews>
  <sheetFormatPr baseColWidth="10" defaultRowHeight="14.25" x14ac:dyDescent="0.45"/>
  <cols>
    <col min="1" max="1" width="43.46484375" customWidth="1"/>
    <col min="2" max="2" width="25.265625" customWidth="1"/>
    <col min="3" max="3" width="30.796875" customWidth="1"/>
    <col min="4" max="4" width="20.53125" customWidth="1"/>
    <col min="5" max="5" width="27.59765625" customWidth="1"/>
    <col min="6" max="6" width="32.06640625" customWidth="1"/>
    <col min="7" max="7" width="14.33203125" customWidth="1"/>
    <col min="9" max="9" width="14.06640625" customWidth="1"/>
    <col min="10" max="10" width="41.33203125" customWidth="1"/>
  </cols>
  <sheetData>
    <row r="1" spans="1:11" ht="54" customHeight="1" x14ac:dyDescent="0.45">
      <c r="A1" s="37" t="s">
        <v>624</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841</v>
      </c>
      <c r="B4" s="6" t="s">
        <v>1546</v>
      </c>
      <c r="C4" s="6" t="s">
        <v>1552</v>
      </c>
      <c r="D4" s="8" t="s">
        <v>362</v>
      </c>
      <c r="E4" s="8" t="s">
        <v>363</v>
      </c>
      <c r="F4" s="10" t="s">
        <v>1542</v>
      </c>
      <c r="G4" s="10" t="s">
        <v>471</v>
      </c>
      <c r="H4" s="30"/>
      <c r="I4" s="10">
        <f>COUNTIF(Tabelle12265397112116120129137141[[#All],[Merged Theme]],Tabelle10951259109113117126134138[[#This Row],[Merged Theme]])</f>
        <v>21</v>
      </c>
      <c r="J4" s="16" t="s">
        <v>368</v>
      </c>
      <c r="K4" s="9"/>
    </row>
    <row r="5" spans="1:11" s="47" customFormat="1" ht="21" customHeight="1" x14ac:dyDescent="0.45">
      <c r="A5" s="29" t="s">
        <v>842</v>
      </c>
      <c r="B5" s="6" t="s">
        <v>1546</v>
      </c>
      <c r="C5" s="41" t="s">
        <v>1552</v>
      </c>
      <c r="D5" s="8" t="s">
        <v>364</v>
      </c>
      <c r="E5" s="42" t="s">
        <v>363</v>
      </c>
      <c r="F5" s="43" t="s">
        <v>1542</v>
      </c>
      <c r="G5" s="10" t="s">
        <v>8</v>
      </c>
      <c r="H5" s="44"/>
      <c r="I5" s="10">
        <f>COUNTIF(Tabelle12265397112116120129137141[[#All],[Merged Theme]],Tabelle10951259109113117126134138[[#This Row],[Merged Theme]])</f>
        <v>17</v>
      </c>
      <c r="J5" s="16" t="s">
        <v>1544</v>
      </c>
      <c r="K5" s="46"/>
    </row>
    <row r="6" spans="1:11" ht="21" customHeight="1" x14ac:dyDescent="0.45">
      <c r="A6" s="29" t="s">
        <v>843</v>
      </c>
      <c r="B6" s="6" t="s">
        <v>1547</v>
      </c>
      <c r="C6" s="6" t="s">
        <v>1553</v>
      </c>
      <c r="D6" s="8" t="s">
        <v>365</v>
      </c>
      <c r="E6" s="8" t="s">
        <v>366</v>
      </c>
      <c r="F6" s="10" t="s">
        <v>366</v>
      </c>
      <c r="G6" s="10" t="s">
        <v>8</v>
      </c>
      <c r="H6" s="30"/>
      <c r="I6" s="43">
        <f>COUNTIF(Tabelle12265397112116120129137141[[#All],[Merged Theme]],Tabelle10951259109113117126134138[[#This Row],[Merged Theme]])</f>
        <v>10</v>
      </c>
      <c r="J6" s="45" t="s">
        <v>1543</v>
      </c>
      <c r="K6" s="9"/>
    </row>
    <row r="7" spans="1:11" ht="21" customHeight="1" x14ac:dyDescent="0.45">
      <c r="A7" s="29" t="s">
        <v>844</v>
      </c>
      <c r="B7" s="6" t="s">
        <v>1547</v>
      </c>
      <c r="C7" s="6" t="s">
        <v>1553</v>
      </c>
      <c r="D7" s="8" t="s">
        <v>367</v>
      </c>
      <c r="E7" s="8" t="s">
        <v>368</v>
      </c>
      <c r="F7" s="10" t="s">
        <v>368</v>
      </c>
      <c r="G7" s="10" t="s">
        <v>8</v>
      </c>
      <c r="H7" s="30"/>
      <c r="I7" s="43">
        <f>COUNTIF(Tabelle12265397112116120129137141[[#All],[Merged Theme]],Tabelle10951259109113117126134138[[#This Row],[Merged Theme]])</f>
        <v>12</v>
      </c>
      <c r="J7" s="45" t="s">
        <v>366</v>
      </c>
      <c r="K7" s="9"/>
    </row>
    <row r="8" spans="1:11" ht="21" customHeight="1" x14ac:dyDescent="0.45">
      <c r="A8" s="29" t="s">
        <v>845</v>
      </c>
      <c r="B8" s="6" t="s">
        <v>1548</v>
      </c>
      <c r="C8" s="6" t="s">
        <v>1553</v>
      </c>
      <c r="D8" s="8" t="s">
        <v>369</v>
      </c>
      <c r="E8" s="8" t="s">
        <v>366</v>
      </c>
      <c r="F8" s="10" t="s">
        <v>366</v>
      </c>
      <c r="G8" s="10" t="s">
        <v>471</v>
      </c>
      <c r="H8" s="30"/>
      <c r="I8" s="43">
        <f>COUNTIF(Tabelle12265397112116120129137141[[#All],[Merged Theme]],Tabelle10951259109113117126134138[[#This Row],[Merged Theme]])</f>
        <v>9</v>
      </c>
      <c r="J8" s="45" t="s">
        <v>1542</v>
      </c>
      <c r="K8" s="9"/>
    </row>
    <row r="9" spans="1:11" ht="21" customHeight="1" x14ac:dyDescent="0.45">
      <c r="A9" s="29" t="s">
        <v>846</v>
      </c>
      <c r="B9" s="6" t="s">
        <v>1547</v>
      </c>
      <c r="C9" s="6" t="s">
        <v>1553</v>
      </c>
      <c r="D9" s="8" t="s">
        <v>370</v>
      </c>
      <c r="E9" s="8" t="s">
        <v>368</v>
      </c>
      <c r="F9" s="10" t="s">
        <v>368</v>
      </c>
      <c r="G9" s="10" t="s">
        <v>8</v>
      </c>
      <c r="H9" s="30"/>
      <c r="I9" s="43">
        <f>COUNTIF(Tabelle12265397112116120129137141[[#All],[Merged Theme]],Tabelle10951259109113117126134138[[#This Row],[Merged Theme]])</f>
        <v>3</v>
      </c>
      <c r="J9" s="45" t="s">
        <v>1545</v>
      </c>
      <c r="K9" s="33"/>
    </row>
    <row r="10" spans="1:11" ht="21" customHeight="1" x14ac:dyDescent="0.45">
      <c r="A10" s="29" t="s">
        <v>847</v>
      </c>
      <c r="B10" s="6" t="s">
        <v>589</v>
      </c>
      <c r="C10" s="6" t="s">
        <v>1553</v>
      </c>
      <c r="D10" s="8" t="s">
        <v>371</v>
      </c>
      <c r="E10" s="8" t="s">
        <v>281</v>
      </c>
      <c r="F10" s="10" t="s">
        <v>1543</v>
      </c>
      <c r="G10" s="10" t="s">
        <v>471</v>
      </c>
      <c r="H10" s="30"/>
      <c r="I10" s="17">
        <f>SUM(Tabelle10951259109113117126134138[Mentions])</f>
        <v>72</v>
      </c>
      <c r="J10" s="18"/>
      <c r="K10" s="9"/>
    </row>
    <row r="11" spans="1:11" ht="21" customHeight="1" x14ac:dyDescent="0.45">
      <c r="A11" s="29" t="s">
        <v>848</v>
      </c>
      <c r="B11" s="6" t="s">
        <v>1549</v>
      </c>
      <c r="C11" s="6" t="s">
        <v>1552</v>
      </c>
      <c r="D11" s="8" t="s">
        <v>372</v>
      </c>
      <c r="E11" s="8" t="s">
        <v>373</v>
      </c>
      <c r="F11" s="10" t="s">
        <v>1544</v>
      </c>
      <c r="G11" s="10" t="s">
        <v>8</v>
      </c>
      <c r="H11" s="30"/>
      <c r="I11" s="30"/>
      <c r="J11" s="30"/>
      <c r="K11" s="9"/>
    </row>
    <row r="12" spans="1:11" ht="21" customHeight="1" x14ac:dyDescent="0.65">
      <c r="A12" s="29" t="s">
        <v>849</v>
      </c>
      <c r="B12" s="6" t="s">
        <v>589</v>
      </c>
      <c r="C12" s="6" t="s">
        <v>1552</v>
      </c>
      <c r="D12" s="8" t="s">
        <v>374</v>
      </c>
      <c r="E12" s="8" t="s">
        <v>363</v>
      </c>
      <c r="F12" s="10" t="s">
        <v>1542</v>
      </c>
      <c r="G12" s="10" t="s">
        <v>471</v>
      </c>
      <c r="H12" s="30"/>
      <c r="I12" s="30"/>
      <c r="J12" s="30"/>
      <c r="K12" s="31"/>
    </row>
    <row r="13" spans="1:11" ht="21" customHeight="1" x14ac:dyDescent="0.65">
      <c r="A13" s="29" t="s">
        <v>850</v>
      </c>
      <c r="B13" s="6" t="s">
        <v>1549</v>
      </c>
      <c r="C13" s="41" t="s">
        <v>1552</v>
      </c>
      <c r="D13" s="8" t="s">
        <v>375</v>
      </c>
      <c r="E13" s="8" t="s">
        <v>373</v>
      </c>
      <c r="F13" s="10" t="s">
        <v>1544</v>
      </c>
      <c r="G13" s="10" t="s">
        <v>8</v>
      </c>
      <c r="H13" s="30"/>
      <c r="I13" s="63" t="s">
        <v>451</v>
      </c>
      <c r="J13" s="63"/>
      <c r="K13" s="34"/>
    </row>
    <row r="14" spans="1:11" ht="21" customHeight="1" x14ac:dyDescent="0.55000000000000004">
      <c r="A14" s="29" t="s">
        <v>851</v>
      </c>
      <c r="B14" s="6" t="s">
        <v>1547</v>
      </c>
      <c r="C14" s="6" t="s">
        <v>1553</v>
      </c>
      <c r="D14" s="8" t="s">
        <v>367</v>
      </c>
      <c r="E14" s="8" t="s">
        <v>368</v>
      </c>
      <c r="F14" s="10" t="s">
        <v>368</v>
      </c>
      <c r="G14" s="10" t="s">
        <v>8</v>
      </c>
      <c r="H14" s="30"/>
      <c r="I14" s="23" t="s">
        <v>5</v>
      </c>
      <c r="J14" s="22" t="s">
        <v>3</v>
      </c>
      <c r="K14" s="35"/>
    </row>
    <row r="15" spans="1:11" ht="21" customHeight="1" x14ac:dyDescent="0.45">
      <c r="A15" s="29" t="s">
        <v>852</v>
      </c>
      <c r="B15" s="6" t="s">
        <v>1547</v>
      </c>
      <c r="C15" s="6" t="s">
        <v>1553</v>
      </c>
      <c r="D15" s="8" t="s">
        <v>376</v>
      </c>
      <c r="E15" s="8" t="s">
        <v>366</v>
      </c>
      <c r="F15" s="10" t="s">
        <v>366</v>
      </c>
      <c r="G15" s="10" t="s">
        <v>8</v>
      </c>
      <c r="H15" s="30"/>
      <c r="I15" s="6">
        <f>COUNTIF(Tabelle12265397112116120129137141[A - Theme],Tabelle10911152394110114118127135139[[#This Row],[Theme]])</f>
        <v>34</v>
      </c>
      <c r="J15" s="38" t="s">
        <v>1553</v>
      </c>
      <c r="K15" s="35"/>
    </row>
    <row r="16" spans="1:11" ht="21" customHeight="1" x14ac:dyDescent="0.45">
      <c r="A16" s="29" t="s">
        <v>853</v>
      </c>
      <c r="B16" s="6" t="s">
        <v>1549</v>
      </c>
      <c r="C16" s="6" t="s">
        <v>1552</v>
      </c>
      <c r="D16" s="8" t="s">
        <v>377</v>
      </c>
      <c r="E16" s="8" t="s">
        <v>373</v>
      </c>
      <c r="F16" s="10" t="s">
        <v>1544</v>
      </c>
      <c r="G16" s="10" t="s">
        <v>8</v>
      </c>
      <c r="H16" s="30"/>
      <c r="I16" s="6">
        <f>COUNTIF(Tabelle12265397112116120129137141[A - Theme],Tabelle10911152394110114118127135139[[#This Row],[Theme]])</f>
        <v>31</v>
      </c>
      <c r="J16" s="38" t="s">
        <v>1552</v>
      </c>
      <c r="K16" s="35"/>
    </row>
    <row r="17" spans="1:11" ht="21" customHeight="1" x14ac:dyDescent="0.45">
      <c r="A17" s="29" t="s">
        <v>854</v>
      </c>
      <c r="B17" s="6" t="s">
        <v>1547</v>
      </c>
      <c r="C17" s="6" t="s">
        <v>1553</v>
      </c>
      <c r="D17" s="8" t="s">
        <v>367</v>
      </c>
      <c r="E17" s="8" t="s">
        <v>368</v>
      </c>
      <c r="F17" s="10" t="s">
        <v>368</v>
      </c>
      <c r="G17" s="10" t="s">
        <v>8</v>
      </c>
      <c r="H17" s="30"/>
      <c r="I17" s="6">
        <f>COUNTIF(Tabelle12265397112116120129137141[A - Theme],Tabelle10911152394110114118127135139[[#This Row],[Theme]])</f>
        <v>5</v>
      </c>
      <c r="J17" s="38" t="s">
        <v>589</v>
      </c>
      <c r="K17" s="35"/>
    </row>
    <row r="18" spans="1:11" ht="21" customHeight="1" x14ac:dyDescent="0.45">
      <c r="A18" s="29" t="s">
        <v>855</v>
      </c>
      <c r="B18" s="6" t="s">
        <v>1547</v>
      </c>
      <c r="C18" s="6" t="s">
        <v>1553</v>
      </c>
      <c r="D18" s="8" t="s">
        <v>378</v>
      </c>
      <c r="E18" s="8" t="s">
        <v>368</v>
      </c>
      <c r="F18" s="10" t="s">
        <v>368</v>
      </c>
      <c r="G18" s="10" t="s">
        <v>8</v>
      </c>
      <c r="H18" s="30"/>
      <c r="I18" s="6">
        <f>COUNTIF(Tabelle12265397112116120129137141[A - Theme],Tabelle10911152394110114118127135139[[#This Row],[Theme]])</f>
        <v>2</v>
      </c>
      <c r="J18" s="38" t="s">
        <v>1232</v>
      </c>
      <c r="K18" s="35"/>
    </row>
    <row r="19" spans="1:11" ht="21" customHeight="1" x14ac:dyDescent="0.45">
      <c r="A19" s="29" t="s">
        <v>856</v>
      </c>
      <c r="B19" s="6" t="s">
        <v>1549</v>
      </c>
      <c r="C19" s="6" t="s">
        <v>1552</v>
      </c>
      <c r="D19" s="8" t="s">
        <v>379</v>
      </c>
      <c r="E19" s="8" t="s">
        <v>373</v>
      </c>
      <c r="F19" s="10" t="s">
        <v>1544</v>
      </c>
      <c r="G19" s="10" t="s">
        <v>8</v>
      </c>
      <c r="H19" s="30"/>
      <c r="I19" s="20">
        <f>SUM(Tabelle10911152394110114118127135139[Mentions])</f>
        <v>72</v>
      </c>
      <c r="J19" s="21"/>
      <c r="K19" s="35"/>
    </row>
    <row r="20" spans="1:11" ht="21" customHeight="1" x14ac:dyDescent="0.45">
      <c r="A20" s="29" t="s">
        <v>857</v>
      </c>
      <c r="B20" s="6" t="s">
        <v>1550</v>
      </c>
      <c r="C20" s="6" t="s">
        <v>1552</v>
      </c>
      <c r="D20" s="8" t="s">
        <v>380</v>
      </c>
      <c r="E20" s="8" t="s">
        <v>381</v>
      </c>
      <c r="F20" s="10" t="s">
        <v>1545</v>
      </c>
      <c r="G20" s="10" t="s">
        <v>8</v>
      </c>
      <c r="H20" s="30"/>
      <c r="I20" s="30"/>
      <c r="J20" s="30"/>
      <c r="K20" s="35"/>
    </row>
    <row r="21" spans="1:11" ht="21" customHeight="1" x14ac:dyDescent="0.45">
      <c r="A21" s="29" t="s">
        <v>858</v>
      </c>
      <c r="B21" s="6" t="s">
        <v>1551</v>
      </c>
      <c r="C21" s="6" t="s">
        <v>1552</v>
      </c>
      <c r="D21" s="8" t="s">
        <v>382</v>
      </c>
      <c r="E21" s="8" t="s">
        <v>281</v>
      </c>
      <c r="F21" s="10" t="s">
        <v>1543</v>
      </c>
      <c r="G21" s="10" t="s">
        <v>8</v>
      </c>
      <c r="H21" s="30"/>
      <c r="I21" s="30"/>
      <c r="J21" s="30"/>
      <c r="K21" s="35"/>
    </row>
    <row r="22" spans="1:11" ht="21" customHeight="1" x14ac:dyDescent="0.65">
      <c r="A22" s="29" t="s">
        <v>859</v>
      </c>
      <c r="B22" s="6" t="s">
        <v>1547</v>
      </c>
      <c r="C22" s="6" t="s">
        <v>1553</v>
      </c>
      <c r="D22" s="8" t="s">
        <v>383</v>
      </c>
      <c r="E22" s="8" t="s">
        <v>368</v>
      </c>
      <c r="F22" s="10" t="s">
        <v>368</v>
      </c>
      <c r="G22" s="10" t="s">
        <v>8</v>
      </c>
      <c r="H22" s="30"/>
      <c r="I22" s="36" t="s">
        <v>452</v>
      </c>
      <c r="J22" s="36"/>
      <c r="K22" s="35"/>
    </row>
    <row r="23" spans="1:11" ht="21" customHeight="1" x14ac:dyDescent="0.55000000000000004">
      <c r="A23" s="29" t="s">
        <v>860</v>
      </c>
      <c r="B23" s="6" t="s">
        <v>1548</v>
      </c>
      <c r="C23" s="6" t="s">
        <v>1553</v>
      </c>
      <c r="D23" s="8" t="s">
        <v>384</v>
      </c>
      <c r="E23" s="8" t="s">
        <v>281</v>
      </c>
      <c r="F23" s="10" t="s">
        <v>1543</v>
      </c>
      <c r="G23" s="10" t="s">
        <v>8</v>
      </c>
      <c r="H23" s="30"/>
      <c r="I23" s="19" t="s">
        <v>5</v>
      </c>
      <c r="J23" s="19" t="s">
        <v>3</v>
      </c>
      <c r="K23" s="35"/>
    </row>
    <row r="24" spans="1:11" ht="21" customHeight="1" x14ac:dyDescent="0.45">
      <c r="A24" s="29" t="s">
        <v>861</v>
      </c>
      <c r="B24" s="6" t="s">
        <v>1547</v>
      </c>
      <c r="C24" s="6" t="s">
        <v>1553</v>
      </c>
      <c r="D24" s="8" t="s">
        <v>385</v>
      </c>
      <c r="E24" s="8" t="s">
        <v>368</v>
      </c>
      <c r="F24" s="10" t="s">
        <v>368</v>
      </c>
      <c r="G24" s="10" t="s">
        <v>8</v>
      </c>
      <c r="H24" s="30"/>
      <c r="I24" s="8">
        <f>COUNTIF(Tabelle12265397112116120129137141[B - Theme],Tabelle10911111258796111115119128136140[[#This Row],[Theme]])</f>
        <v>10</v>
      </c>
      <c r="J24" s="26" t="s">
        <v>281</v>
      </c>
      <c r="K24" s="33"/>
    </row>
    <row r="25" spans="1:11" ht="21" customHeight="1" x14ac:dyDescent="0.45">
      <c r="A25" s="29" t="s">
        <v>862</v>
      </c>
      <c r="B25" s="6" t="s">
        <v>1550</v>
      </c>
      <c r="C25" s="6" t="s">
        <v>1552</v>
      </c>
      <c r="D25" s="8" t="s">
        <v>386</v>
      </c>
      <c r="E25" s="8" t="s">
        <v>281</v>
      </c>
      <c r="F25" s="10" t="s">
        <v>1543</v>
      </c>
      <c r="G25" s="10" t="s">
        <v>8</v>
      </c>
      <c r="H25" s="30"/>
      <c r="I25" s="8">
        <f>COUNTIF(Tabelle12265397112116120129137141[B - Theme],Tabelle10911111258796111115119128136140[[#This Row],[Theme]])</f>
        <v>3</v>
      </c>
      <c r="J25" s="26" t="s">
        <v>381</v>
      </c>
      <c r="K25" s="30"/>
    </row>
    <row r="26" spans="1:11" ht="21" customHeight="1" x14ac:dyDescent="0.45">
      <c r="A26" s="29" t="s">
        <v>863</v>
      </c>
      <c r="B26" s="6" t="s">
        <v>1547</v>
      </c>
      <c r="C26" s="6" t="s">
        <v>1553</v>
      </c>
      <c r="D26" s="8" t="s">
        <v>387</v>
      </c>
      <c r="E26" s="8" t="s">
        <v>281</v>
      </c>
      <c r="F26" s="10" t="s">
        <v>1543</v>
      </c>
      <c r="G26" s="10" t="s">
        <v>8</v>
      </c>
      <c r="H26" s="30"/>
      <c r="I26" s="8">
        <f>COUNTIF(Tabelle12265397112116120129137141[B - Theme],Tabelle10911111258796111115119128136140[[#This Row],[Theme]])</f>
        <v>9</v>
      </c>
      <c r="J26" s="26" t="s">
        <v>363</v>
      </c>
      <c r="K26" s="30"/>
    </row>
    <row r="27" spans="1:11" ht="21" customHeight="1" x14ac:dyDescent="0.45">
      <c r="A27" s="29" t="s">
        <v>864</v>
      </c>
      <c r="B27" s="6" t="s">
        <v>1547</v>
      </c>
      <c r="C27" s="6" t="s">
        <v>1553</v>
      </c>
      <c r="D27" s="8" t="s">
        <v>388</v>
      </c>
      <c r="E27" s="8" t="s">
        <v>368</v>
      </c>
      <c r="F27" s="10" t="s">
        <v>368</v>
      </c>
      <c r="G27" s="10" t="s">
        <v>8</v>
      </c>
      <c r="H27" s="30"/>
      <c r="I27" s="8">
        <f>COUNTIF(Tabelle12265397112116120129137141[B - Theme],Tabelle10911111258796111115119128136140[[#This Row],[Theme]])</f>
        <v>12</v>
      </c>
      <c r="J27" s="26" t="s">
        <v>366</v>
      </c>
      <c r="K27" s="30"/>
    </row>
    <row r="28" spans="1:11" ht="21" customHeight="1" x14ac:dyDescent="0.45">
      <c r="A28" s="29" t="s">
        <v>865</v>
      </c>
      <c r="B28" s="6" t="s">
        <v>460</v>
      </c>
      <c r="C28" s="6" t="s">
        <v>589</v>
      </c>
      <c r="D28" s="8" t="s">
        <v>389</v>
      </c>
      <c r="E28" s="8" t="s">
        <v>366</v>
      </c>
      <c r="F28" s="10" t="s">
        <v>366</v>
      </c>
      <c r="G28" s="10" t="s">
        <v>8</v>
      </c>
      <c r="H28" s="30"/>
      <c r="I28" s="8">
        <f>COUNTIF(Tabelle12265397112116120129137141[B - Theme],Tabelle10911111258796111115119128136140[[#This Row],[Theme]])</f>
        <v>21</v>
      </c>
      <c r="J28" s="26" t="s">
        <v>368</v>
      </c>
      <c r="K28" s="30"/>
    </row>
    <row r="29" spans="1:11" ht="21" customHeight="1" x14ac:dyDescent="0.45">
      <c r="A29" s="29" t="s">
        <v>866</v>
      </c>
      <c r="B29" s="6" t="s">
        <v>1547</v>
      </c>
      <c r="C29" s="6" t="s">
        <v>1553</v>
      </c>
      <c r="D29" s="8" t="s">
        <v>390</v>
      </c>
      <c r="E29" s="8" t="s">
        <v>281</v>
      </c>
      <c r="F29" s="10" t="s">
        <v>1543</v>
      </c>
      <c r="G29" s="10" t="s">
        <v>8</v>
      </c>
      <c r="H29" s="30"/>
      <c r="I29" s="8">
        <f>COUNTIF(Tabelle12265397112116120129137141[B - Theme],Tabelle10911111258796111115119128136140[[#This Row],[Theme]])</f>
        <v>17</v>
      </c>
      <c r="J29" s="26" t="s">
        <v>373</v>
      </c>
      <c r="K29" s="30"/>
    </row>
    <row r="30" spans="1:11" ht="21" customHeight="1" x14ac:dyDescent="0.45">
      <c r="A30" s="29" t="s">
        <v>867</v>
      </c>
      <c r="B30" s="6" t="s">
        <v>1547</v>
      </c>
      <c r="C30" s="6" t="s">
        <v>1553</v>
      </c>
      <c r="D30" s="8" t="s">
        <v>367</v>
      </c>
      <c r="E30" s="8" t="s">
        <v>368</v>
      </c>
      <c r="F30" s="10" t="s">
        <v>368</v>
      </c>
      <c r="G30" s="10" t="s">
        <v>8</v>
      </c>
      <c r="H30" s="30"/>
      <c r="I30" s="24">
        <f>SUM(Tabelle10911111258796111115119128136140[Mentions])</f>
        <v>72</v>
      </c>
      <c r="J30" s="25"/>
      <c r="K30" s="30"/>
    </row>
    <row r="31" spans="1:11" ht="21" customHeight="1" x14ac:dyDescent="0.45">
      <c r="A31" s="29" t="s">
        <v>868</v>
      </c>
      <c r="B31" s="6" t="s">
        <v>1548</v>
      </c>
      <c r="C31" s="6" t="s">
        <v>1553</v>
      </c>
      <c r="D31" s="8" t="s">
        <v>391</v>
      </c>
      <c r="E31" s="8" t="s">
        <v>366</v>
      </c>
      <c r="F31" s="10" t="s">
        <v>366</v>
      </c>
      <c r="G31" s="10" t="s">
        <v>8</v>
      </c>
      <c r="H31" s="30"/>
      <c r="I31" s="30"/>
      <c r="J31" s="30"/>
      <c r="K31" s="30"/>
    </row>
    <row r="32" spans="1:11" ht="21" customHeight="1" x14ac:dyDescent="0.45">
      <c r="A32" s="29" t="s">
        <v>869</v>
      </c>
      <c r="B32" s="6" t="s">
        <v>1548</v>
      </c>
      <c r="C32" s="6" t="s">
        <v>1553</v>
      </c>
      <c r="D32" s="8" t="s">
        <v>392</v>
      </c>
      <c r="E32" s="8" t="s">
        <v>366</v>
      </c>
      <c r="F32" s="10" t="s">
        <v>366</v>
      </c>
      <c r="G32" s="10" t="s">
        <v>8</v>
      </c>
      <c r="H32" s="30"/>
      <c r="I32" s="30"/>
      <c r="J32" s="30"/>
      <c r="K32" s="30"/>
    </row>
    <row r="33" spans="1:11" ht="21" customHeight="1" x14ac:dyDescent="0.45">
      <c r="A33" s="29" t="s">
        <v>870</v>
      </c>
      <c r="B33" s="6" t="s">
        <v>1547</v>
      </c>
      <c r="C33" s="6" t="s">
        <v>1553</v>
      </c>
      <c r="D33" s="8" t="s">
        <v>393</v>
      </c>
      <c r="E33" s="8" t="s">
        <v>281</v>
      </c>
      <c r="F33" s="10" t="s">
        <v>1543</v>
      </c>
      <c r="G33" s="10" t="s">
        <v>8</v>
      </c>
      <c r="H33" s="30"/>
      <c r="I33" s="30"/>
      <c r="J33" s="30"/>
      <c r="K33" s="30"/>
    </row>
    <row r="34" spans="1:11" ht="21" customHeight="1" x14ac:dyDescent="0.45">
      <c r="A34" s="29" t="s">
        <v>871</v>
      </c>
      <c r="B34" s="6" t="s">
        <v>1232</v>
      </c>
      <c r="C34" s="6" t="s">
        <v>1232</v>
      </c>
      <c r="D34" s="8" t="s">
        <v>394</v>
      </c>
      <c r="E34" s="8" t="s">
        <v>363</v>
      </c>
      <c r="F34" s="10" t="s">
        <v>1542</v>
      </c>
      <c r="G34" s="10" t="s">
        <v>471</v>
      </c>
      <c r="H34" s="30"/>
      <c r="I34" s="30"/>
      <c r="J34" s="30"/>
      <c r="K34" s="30"/>
    </row>
    <row r="35" spans="1:11" ht="21" customHeight="1" x14ac:dyDescent="0.45">
      <c r="A35" s="29" t="s">
        <v>872</v>
      </c>
      <c r="B35" s="6" t="s">
        <v>1547</v>
      </c>
      <c r="C35" s="6" t="s">
        <v>1553</v>
      </c>
      <c r="D35" s="8" t="s">
        <v>367</v>
      </c>
      <c r="E35" s="8" t="s">
        <v>368</v>
      </c>
      <c r="F35" s="10" t="s">
        <v>368</v>
      </c>
      <c r="G35" s="10" t="s">
        <v>8</v>
      </c>
      <c r="H35" s="30"/>
      <c r="I35" s="30"/>
      <c r="J35" s="30"/>
      <c r="K35" s="30"/>
    </row>
    <row r="36" spans="1:11" ht="21" customHeight="1" x14ac:dyDescent="0.45">
      <c r="A36" s="29" t="s">
        <v>873</v>
      </c>
      <c r="B36" s="6" t="s">
        <v>1549</v>
      </c>
      <c r="C36" s="6" t="s">
        <v>1552</v>
      </c>
      <c r="D36" s="8" t="s">
        <v>395</v>
      </c>
      <c r="E36" s="8" t="s">
        <v>373</v>
      </c>
      <c r="F36" s="10" t="s">
        <v>1544</v>
      </c>
      <c r="G36" s="10" t="s">
        <v>8</v>
      </c>
      <c r="H36" s="30"/>
      <c r="I36" s="30"/>
      <c r="J36" s="30"/>
      <c r="K36" s="30"/>
    </row>
    <row r="37" spans="1:11" ht="21" customHeight="1" x14ac:dyDescent="0.45">
      <c r="A37" s="29" t="s">
        <v>874</v>
      </c>
      <c r="B37" s="6" t="s">
        <v>1549</v>
      </c>
      <c r="C37" s="6" t="s">
        <v>1552</v>
      </c>
      <c r="D37" s="8" t="s">
        <v>396</v>
      </c>
      <c r="E37" s="8" t="s">
        <v>373</v>
      </c>
      <c r="F37" s="10" t="s">
        <v>1544</v>
      </c>
      <c r="G37" s="10" t="s">
        <v>8</v>
      </c>
      <c r="H37" s="30"/>
      <c r="I37" s="30"/>
      <c r="J37" s="30"/>
      <c r="K37" s="30"/>
    </row>
    <row r="38" spans="1:11" ht="21" customHeight="1" x14ac:dyDescent="0.45">
      <c r="A38" s="29" t="s">
        <v>875</v>
      </c>
      <c r="B38" s="6" t="s">
        <v>1547</v>
      </c>
      <c r="C38" s="6" t="s">
        <v>1553</v>
      </c>
      <c r="D38" s="8" t="s">
        <v>367</v>
      </c>
      <c r="E38" s="8" t="s">
        <v>368</v>
      </c>
      <c r="F38" s="10" t="s">
        <v>368</v>
      </c>
      <c r="G38" s="10" t="s">
        <v>8</v>
      </c>
      <c r="H38" s="30"/>
      <c r="I38" s="30"/>
      <c r="J38" s="30"/>
      <c r="K38" s="30"/>
    </row>
    <row r="39" spans="1:11" ht="21" customHeight="1" x14ac:dyDescent="0.45">
      <c r="A39" s="29" t="s">
        <v>876</v>
      </c>
      <c r="B39" s="6" t="s">
        <v>1547</v>
      </c>
      <c r="C39" s="6" t="s">
        <v>1553</v>
      </c>
      <c r="D39" s="8" t="s">
        <v>367</v>
      </c>
      <c r="E39" s="8" t="s">
        <v>368</v>
      </c>
      <c r="F39" s="10" t="s">
        <v>368</v>
      </c>
      <c r="G39" s="10" t="s">
        <v>8</v>
      </c>
      <c r="H39" s="30"/>
      <c r="I39" s="30"/>
      <c r="J39" s="30"/>
      <c r="K39" s="30"/>
    </row>
    <row r="40" spans="1:11" ht="21" customHeight="1" x14ac:dyDescent="0.45">
      <c r="A40" s="29" t="s">
        <v>877</v>
      </c>
      <c r="B40" s="6" t="s">
        <v>460</v>
      </c>
      <c r="C40" s="6" t="s">
        <v>589</v>
      </c>
      <c r="D40" s="8" t="s">
        <v>397</v>
      </c>
      <c r="E40" s="8" t="s">
        <v>366</v>
      </c>
      <c r="F40" s="10" t="s">
        <v>366</v>
      </c>
      <c r="G40" s="10" t="s">
        <v>8</v>
      </c>
      <c r="H40" s="30"/>
      <c r="I40" s="30"/>
      <c r="J40" s="30"/>
      <c r="K40" s="30"/>
    </row>
    <row r="41" spans="1:11" ht="21" customHeight="1" x14ac:dyDescent="0.45">
      <c r="A41" s="29" t="s">
        <v>878</v>
      </c>
      <c r="B41" s="6" t="s">
        <v>1549</v>
      </c>
      <c r="C41" s="6" t="s">
        <v>1552</v>
      </c>
      <c r="D41" s="8" t="s">
        <v>398</v>
      </c>
      <c r="E41" s="8" t="s">
        <v>373</v>
      </c>
      <c r="F41" s="10" t="s">
        <v>1544</v>
      </c>
      <c r="G41" s="10" t="s">
        <v>471</v>
      </c>
      <c r="H41" s="30"/>
      <c r="I41" s="30"/>
      <c r="J41" s="30"/>
      <c r="K41" s="30"/>
    </row>
    <row r="42" spans="1:11" ht="21" customHeight="1" x14ac:dyDescent="0.45">
      <c r="A42" s="29" t="s">
        <v>879</v>
      </c>
      <c r="B42" s="6" t="s">
        <v>1549</v>
      </c>
      <c r="C42" s="6" t="s">
        <v>1552</v>
      </c>
      <c r="D42" s="8" t="s">
        <v>399</v>
      </c>
      <c r="E42" s="8" t="s">
        <v>373</v>
      </c>
      <c r="F42" s="10" t="s">
        <v>1544</v>
      </c>
      <c r="G42" s="10" t="s">
        <v>8</v>
      </c>
      <c r="H42" s="30"/>
      <c r="I42" s="30"/>
      <c r="J42" s="30"/>
      <c r="K42" s="30"/>
    </row>
    <row r="43" spans="1:11" ht="21" customHeight="1" x14ac:dyDescent="0.45">
      <c r="A43" s="29" t="s">
        <v>880</v>
      </c>
      <c r="B43" s="6" t="s">
        <v>1550</v>
      </c>
      <c r="C43" s="6" t="s">
        <v>1552</v>
      </c>
      <c r="D43" s="8" t="s">
        <v>400</v>
      </c>
      <c r="E43" s="8" t="s">
        <v>381</v>
      </c>
      <c r="F43" s="10" t="s">
        <v>1545</v>
      </c>
      <c r="G43" s="10" t="s">
        <v>8</v>
      </c>
      <c r="H43" s="30"/>
      <c r="I43" s="30"/>
      <c r="J43" s="30"/>
      <c r="K43" s="30"/>
    </row>
    <row r="44" spans="1:11" ht="21" customHeight="1" x14ac:dyDescent="0.45">
      <c r="A44" s="29" t="s">
        <v>881</v>
      </c>
      <c r="B44" s="6" t="s">
        <v>1547</v>
      </c>
      <c r="C44" s="6" t="s">
        <v>1553</v>
      </c>
      <c r="D44" s="8" t="s">
        <v>370</v>
      </c>
      <c r="E44" s="8" t="s">
        <v>368</v>
      </c>
      <c r="F44" s="10" t="s">
        <v>368</v>
      </c>
      <c r="G44" s="10" t="s">
        <v>8</v>
      </c>
      <c r="H44" s="30"/>
      <c r="I44" s="30"/>
      <c r="J44" s="30"/>
      <c r="K44" s="30"/>
    </row>
    <row r="45" spans="1:11" ht="21" customHeight="1" x14ac:dyDescent="0.45">
      <c r="A45" s="29" t="s">
        <v>882</v>
      </c>
      <c r="B45" s="6" t="s">
        <v>1549</v>
      </c>
      <c r="C45" s="6" t="s">
        <v>1552</v>
      </c>
      <c r="D45" s="8" t="s">
        <v>401</v>
      </c>
      <c r="E45" s="8" t="s">
        <v>373</v>
      </c>
      <c r="F45" s="10" t="s">
        <v>1544</v>
      </c>
      <c r="G45" s="10" t="s">
        <v>8</v>
      </c>
      <c r="H45" s="30"/>
      <c r="I45" s="30"/>
      <c r="J45" s="30"/>
      <c r="K45" s="30"/>
    </row>
    <row r="46" spans="1:11" ht="21" customHeight="1" x14ac:dyDescent="0.45">
      <c r="A46" s="29" t="s">
        <v>883</v>
      </c>
      <c r="B46" s="6" t="s">
        <v>1550</v>
      </c>
      <c r="C46" s="6" t="s">
        <v>1552</v>
      </c>
      <c r="D46" s="8" t="s">
        <v>402</v>
      </c>
      <c r="E46" s="8" t="s">
        <v>281</v>
      </c>
      <c r="F46" s="10" t="s">
        <v>1543</v>
      </c>
      <c r="G46" s="10" t="s">
        <v>8</v>
      </c>
      <c r="H46" s="30"/>
      <c r="I46" s="30"/>
      <c r="J46" s="30"/>
      <c r="K46" s="30"/>
    </row>
    <row r="47" spans="1:11" ht="21" customHeight="1" x14ac:dyDescent="0.45">
      <c r="A47" s="29" t="s">
        <v>884</v>
      </c>
      <c r="B47" s="6" t="s">
        <v>1549</v>
      </c>
      <c r="C47" s="6" t="s">
        <v>1552</v>
      </c>
      <c r="D47" s="8" t="s">
        <v>403</v>
      </c>
      <c r="E47" s="8" t="s">
        <v>373</v>
      </c>
      <c r="F47" s="10" t="s">
        <v>1544</v>
      </c>
      <c r="G47" s="10" t="s">
        <v>8</v>
      </c>
      <c r="H47" s="30"/>
      <c r="I47" s="30"/>
      <c r="J47" s="30"/>
      <c r="K47" s="30"/>
    </row>
    <row r="48" spans="1:11" ht="21" customHeight="1" x14ac:dyDescent="0.45">
      <c r="A48" s="29" t="s">
        <v>885</v>
      </c>
      <c r="B48" s="6" t="s">
        <v>1550</v>
      </c>
      <c r="C48" s="6" t="s">
        <v>1552</v>
      </c>
      <c r="D48" s="8" t="s">
        <v>404</v>
      </c>
      <c r="E48" s="8" t="s">
        <v>381</v>
      </c>
      <c r="F48" s="10" t="s">
        <v>1545</v>
      </c>
      <c r="G48" s="10" t="s">
        <v>8</v>
      </c>
      <c r="H48" s="30"/>
      <c r="I48" s="30"/>
      <c r="J48" s="30"/>
      <c r="K48" s="30"/>
    </row>
    <row r="49" spans="1:11" ht="21" customHeight="1" x14ac:dyDescent="0.45">
      <c r="A49" s="29" t="s">
        <v>844</v>
      </c>
      <c r="B49" s="6" t="s">
        <v>1547</v>
      </c>
      <c r="C49" s="6" t="s">
        <v>1553</v>
      </c>
      <c r="D49" s="8" t="s">
        <v>367</v>
      </c>
      <c r="E49" s="8" t="s">
        <v>368</v>
      </c>
      <c r="F49" s="10" t="s">
        <v>368</v>
      </c>
      <c r="G49" s="10" t="s">
        <v>8</v>
      </c>
      <c r="H49" s="30"/>
      <c r="I49" s="30"/>
      <c r="J49" s="30"/>
      <c r="K49" s="30"/>
    </row>
    <row r="50" spans="1:11" ht="21" customHeight="1" x14ac:dyDescent="0.45">
      <c r="A50" s="29" t="s">
        <v>886</v>
      </c>
      <c r="B50" s="6" t="s">
        <v>1548</v>
      </c>
      <c r="C50" s="6" t="s">
        <v>1553</v>
      </c>
      <c r="D50" s="8" t="s">
        <v>311</v>
      </c>
      <c r="E50" s="8" t="s">
        <v>366</v>
      </c>
      <c r="F50" s="10" t="s">
        <v>366</v>
      </c>
      <c r="G50" s="10" t="s">
        <v>8</v>
      </c>
      <c r="H50" s="30"/>
      <c r="I50" s="30"/>
      <c r="J50" s="30"/>
      <c r="K50" s="30"/>
    </row>
    <row r="51" spans="1:11" ht="21" customHeight="1" x14ac:dyDescent="0.45">
      <c r="A51" s="29" t="s">
        <v>887</v>
      </c>
      <c r="B51" s="6" t="s">
        <v>1550</v>
      </c>
      <c r="C51" s="6" t="s">
        <v>1552</v>
      </c>
      <c r="D51" s="8" t="s">
        <v>367</v>
      </c>
      <c r="E51" s="8" t="s">
        <v>368</v>
      </c>
      <c r="F51" s="10" t="s">
        <v>368</v>
      </c>
      <c r="G51" s="10" t="s">
        <v>8</v>
      </c>
      <c r="H51" s="30"/>
      <c r="I51" s="30"/>
      <c r="J51" s="30"/>
      <c r="K51" s="30"/>
    </row>
    <row r="52" spans="1:11" ht="21" customHeight="1" x14ac:dyDescent="0.45">
      <c r="A52" s="29" t="s">
        <v>888</v>
      </c>
      <c r="B52" s="6" t="s">
        <v>1550</v>
      </c>
      <c r="C52" s="6" t="s">
        <v>1552</v>
      </c>
      <c r="D52" s="8" t="s">
        <v>405</v>
      </c>
      <c r="E52" s="8" t="s">
        <v>281</v>
      </c>
      <c r="F52" s="10" t="s">
        <v>1543</v>
      </c>
      <c r="G52" s="10" t="s">
        <v>471</v>
      </c>
      <c r="H52" s="30"/>
      <c r="I52" s="30"/>
      <c r="J52" s="30"/>
      <c r="K52" s="30"/>
    </row>
    <row r="53" spans="1:11" ht="21" customHeight="1" x14ac:dyDescent="0.45">
      <c r="A53" s="29" t="s">
        <v>889</v>
      </c>
      <c r="B53" s="6" t="s">
        <v>1549</v>
      </c>
      <c r="C53" s="6" t="s">
        <v>1552</v>
      </c>
      <c r="D53" s="8" t="s">
        <v>406</v>
      </c>
      <c r="E53" s="8" t="s">
        <v>373</v>
      </c>
      <c r="F53" s="10" t="s">
        <v>1544</v>
      </c>
      <c r="G53" s="10" t="s">
        <v>8</v>
      </c>
      <c r="H53" s="30"/>
      <c r="I53" s="30"/>
      <c r="J53" s="30"/>
      <c r="K53" s="30"/>
    </row>
    <row r="54" spans="1:11" ht="21" customHeight="1" x14ac:dyDescent="0.45">
      <c r="A54" s="29" t="s">
        <v>890</v>
      </c>
      <c r="B54" s="6" t="s">
        <v>1548</v>
      </c>
      <c r="C54" s="6" t="s">
        <v>1553</v>
      </c>
      <c r="D54" s="8" t="s">
        <v>407</v>
      </c>
      <c r="E54" s="8" t="s">
        <v>366</v>
      </c>
      <c r="F54" s="10" t="s">
        <v>366</v>
      </c>
      <c r="G54" s="10" t="s">
        <v>8</v>
      </c>
      <c r="H54" s="30"/>
      <c r="I54" s="30"/>
      <c r="J54" s="30"/>
      <c r="K54" s="30"/>
    </row>
    <row r="55" spans="1:11" ht="21" customHeight="1" x14ac:dyDescent="0.45">
      <c r="A55" s="29" t="s">
        <v>891</v>
      </c>
      <c r="B55" s="6" t="s">
        <v>1547</v>
      </c>
      <c r="C55" s="6" t="s">
        <v>1553</v>
      </c>
      <c r="D55" s="8" t="s">
        <v>367</v>
      </c>
      <c r="E55" s="8" t="s">
        <v>368</v>
      </c>
      <c r="F55" s="10" t="s">
        <v>368</v>
      </c>
      <c r="G55" s="10" t="s">
        <v>8</v>
      </c>
      <c r="H55" s="30"/>
      <c r="I55" s="30"/>
      <c r="J55" s="30"/>
      <c r="K55" s="30"/>
    </row>
    <row r="56" spans="1:11" ht="21" customHeight="1" x14ac:dyDescent="0.45">
      <c r="A56" s="29" t="s">
        <v>892</v>
      </c>
      <c r="B56" s="6" t="s">
        <v>1547</v>
      </c>
      <c r="C56" s="6" t="s">
        <v>1553</v>
      </c>
      <c r="D56" s="8" t="s">
        <v>408</v>
      </c>
      <c r="E56" s="8" t="s">
        <v>373</v>
      </c>
      <c r="F56" s="10" t="s">
        <v>1544</v>
      </c>
      <c r="G56" s="10" t="s">
        <v>8</v>
      </c>
      <c r="H56" s="30"/>
      <c r="I56" s="30"/>
      <c r="J56" s="30"/>
      <c r="K56" s="30"/>
    </row>
    <row r="57" spans="1:11" ht="21" customHeight="1" x14ac:dyDescent="0.45">
      <c r="A57" s="29" t="s">
        <v>844</v>
      </c>
      <c r="B57" s="6" t="s">
        <v>1547</v>
      </c>
      <c r="C57" s="6" t="s">
        <v>1553</v>
      </c>
      <c r="D57" s="8" t="s">
        <v>409</v>
      </c>
      <c r="E57" s="8" t="s">
        <v>368</v>
      </c>
      <c r="F57" s="10" t="s">
        <v>368</v>
      </c>
      <c r="G57" s="10" t="s">
        <v>8</v>
      </c>
      <c r="H57" s="30"/>
      <c r="I57" s="30"/>
      <c r="J57" s="30"/>
      <c r="K57" s="30"/>
    </row>
    <row r="58" spans="1:11" ht="21" customHeight="1" x14ac:dyDescent="0.45">
      <c r="A58" s="29" t="s">
        <v>893</v>
      </c>
      <c r="B58" s="6" t="s">
        <v>1547</v>
      </c>
      <c r="C58" s="6" t="s">
        <v>1553</v>
      </c>
      <c r="D58" s="8" t="s">
        <v>410</v>
      </c>
      <c r="E58" s="8" t="s">
        <v>368</v>
      </c>
      <c r="F58" s="10" t="s">
        <v>368</v>
      </c>
      <c r="G58" s="10" t="s">
        <v>8</v>
      </c>
      <c r="H58" s="30"/>
      <c r="I58" s="30"/>
      <c r="J58" s="30"/>
      <c r="K58" s="30"/>
    </row>
    <row r="59" spans="1:11" ht="21" customHeight="1" x14ac:dyDescent="0.45">
      <c r="A59" s="29" t="s">
        <v>894</v>
      </c>
      <c r="B59" s="6" t="s">
        <v>1547</v>
      </c>
      <c r="C59" s="6" t="s">
        <v>1553</v>
      </c>
      <c r="D59" s="8" t="s">
        <v>370</v>
      </c>
      <c r="E59" s="8" t="s">
        <v>368</v>
      </c>
      <c r="F59" s="10" t="s">
        <v>368</v>
      </c>
      <c r="G59" s="10" t="s">
        <v>8</v>
      </c>
      <c r="H59" s="30"/>
      <c r="I59" s="30"/>
      <c r="J59" s="30"/>
      <c r="K59" s="30"/>
    </row>
    <row r="60" spans="1:11" ht="21" customHeight="1" x14ac:dyDescent="0.45">
      <c r="A60" s="29" t="s">
        <v>895</v>
      </c>
      <c r="B60" s="6" t="s">
        <v>1549</v>
      </c>
      <c r="C60" s="6" t="s">
        <v>1552</v>
      </c>
      <c r="D60" s="8" t="s">
        <v>411</v>
      </c>
      <c r="E60" s="8" t="s">
        <v>373</v>
      </c>
      <c r="F60" s="10" t="s">
        <v>1544</v>
      </c>
      <c r="G60" s="10" t="s">
        <v>8</v>
      </c>
      <c r="H60" s="30"/>
      <c r="I60" s="30"/>
      <c r="J60" s="30"/>
      <c r="K60" s="30"/>
    </row>
    <row r="61" spans="1:11" ht="21" customHeight="1" x14ac:dyDescent="0.45">
      <c r="A61" s="29" t="s">
        <v>896</v>
      </c>
      <c r="B61" s="6" t="s">
        <v>1547</v>
      </c>
      <c r="C61" s="6" t="s">
        <v>1553</v>
      </c>
      <c r="D61" s="8" t="s">
        <v>368</v>
      </c>
      <c r="E61" s="8" t="s">
        <v>368</v>
      </c>
      <c r="F61" s="10" t="s">
        <v>368</v>
      </c>
      <c r="G61" s="10" t="s">
        <v>8</v>
      </c>
      <c r="H61" s="30"/>
      <c r="I61" s="30"/>
      <c r="J61" s="30"/>
      <c r="K61" s="30"/>
    </row>
    <row r="62" spans="1:11" ht="21" customHeight="1" x14ac:dyDescent="0.45">
      <c r="A62" s="29" t="s">
        <v>897</v>
      </c>
      <c r="B62" s="6" t="s">
        <v>1546</v>
      </c>
      <c r="C62" s="6" t="s">
        <v>1552</v>
      </c>
      <c r="D62" s="8" t="s">
        <v>412</v>
      </c>
      <c r="E62" s="8" t="s">
        <v>363</v>
      </c>
      <c r="F62" s="10" t="s">
        <v>1542</v>
      </c>
      <c r="G62" s="10" t="s">
        <v>8</v>
      </c>
      <c r="H62" s="30"/>
      <c r="I62" s="30"/>
      <c r="J62" s="30"/>
      <c r="K62" s="30"/>
    </row>
    <row r="63" spans="1:11" ht="21" customHeight="1" x14ac:dyDescent="0.45">
      <c r="A63" s="29" t="s">
        <v>898</v>
      </c>
      <c r="B63" s="6" t="s">
        <v>1547</v>
      </c>
      <c r="C63" s="6" t="s">
        <v>1553</v>
      </c>
      <c r="D63" s="8" t="s">
        <v>367</v>
      </c>
      <c r="E63" s="8" t="s">
        <v>368</v>
      </c>
      <c r="F63" s="10" t="s">
        <v>368</v>
      </c>
      <c r="G63" s="10" t="s">
        <v>8</v>
      </c>
      <c r="H63" s="30"/>
      <c r="I63" s="30"/>
      <c r="J63" s="30"/>
      <c r="K63" s="30"/>
    </row>
    <row r="64" spans="1:11" ht="21" customHeight="1" x14ac:dyDescent="0.45">
      <c r="A64" s="29" t="s">
        <v>899</v>
      </c>
      <c r="B64" s="6" t="s">
        <v>589</v>
      </c>
      <c r="C64" s="6" t="s">
        <v>589</v>
      </c>
      <c r="D64" s="8" t="s">
        <v>413</v>
      </c>
      <c r="E64" s="8" t="s">
        <v>363</v>
      </c>
      <c r="F64" s="10" t="s">
        <v>1542</v>
      </c>
      <c r="G64" s="10" t="s">
        <v>8</v>
      </c>
      <c r="H64" s="30"/>
      <c r="I64" s="30"/>
      <c r="J64" s="30"/>
      <c r="K64" s="30"/>
    </row>
    <row r="65" spans="1:11" ht="21" customHeight="1" x14ac:dyDescent="0.45">
      <c r="A65" s="29" t="s">
        <v>900</v>
      </c>
      <c r="B65" s="6" t="s">
        <v>1546</v>
      </c>
      <c r="C65" s="6" t="s">
        <v>1552</v>
      </c>
      <c r="D65" s="8" t="s">
        <v>414</v>
      </c>
      <c r="E65" s="8" t="s">
        <v>363</v>
      </c>
      <c r="F65" s="10" t="s">
        <v>1542</v>
      </c>
      <c r="G65" s="10" t="s">
        <v>8</v>
      </c>
      <c r="H65" s="30"/>
      <c r="I65" s="30"/>
      <c r="J65" s="30"/>
      <c r="K65" s="30"/>
    </row>
    <row r="66" spans="1:11" ht="21" customHeight="1" x14ac:dyDescent="0.45">
      <c r="A66" s="29" t="s">
        <v>901</v>
      </c>
      <c r="B66" s="6" t="s">
        <v>1550</v>
      </c>
      <c r="C66" s="6" t="s">
        <v>1552</v>
      </c>
      <c r="D66" s="8" t="s">
        <v>415</v>
      </c>
      <c r="E66" s="8" t="s">
        <v>363</v>
      </c>
      <c r="F66" s="10" t="s">
        <v>1542</v>
      </c>
      <c r="G66" s="10" t="s">
        <v>8</v>
      </c>
      <c r="H66" s="30"/>
      <c r="I66" s="30"/>
      <c r="J66" s="30"/>
      <c r="K66" s="30"/>
    </row>
    <row r="67" spans="1:11" ht="21" customHeight="1" x14ac:dyDescent="0.45">
      <c r="A67" s="29" t="s">
        <v>902</v>
      </c>
      <c r="B67" s="6" t="s">
        <v>1547</v>
      </c>
      <c r="C67" s="6" t="s">
        <v>1553</v>
      </c>
      <c r="D67" s="8" t="s">
        <v>416</v>
      </c>
      <c r="E67" s="8" t="s">
        <v>366</v>
      </c>
      <c r="F67" s="10" t="s">
        <v>366</v>
      </c>
      <c r="G67" s="10" t="s">
        <v>8</v>
      </c>
      <c r="H67" s="30"/>
      <c r="I67" s="30"/>
      <c r="J67" s="30"/>
      <c r="K67" s="30"/>
    </row>
    <row r="68" spans="1:11" ht="21" customHeight="1" x14ac:dyDescent="0.45">
      <c r="A68" s="29" t="s">
        <v>903</v>
      </c>
      <c r="B68" s="6" t="s">
        <v>1550</v>
      </c>
      <c r="C68" s="6" t="s">
        <v>1552</v>
      </c>
      <c r="D68" s="8" t="s">
        <v>417</v>
      </c>
      <c r="E68" s="8" t="s">
        <v>281</v>
      </c>
      <c r="F68" s="10" t="s">
        <v>1543</v>
      </c>
      <c r="G68" s="10" t="s">
        <v>8</v>
      </c>
      <c r="H68" s="30"/>
      <c r="I68" s="30"/>
      <c r="J68" s="30"/>
      <c r="K68" s="30"/>
    </row>
    <row r="69" spans="1:11" ht="21" customHeight="1" x14ac:dyDescent="0.45">
      <c r="A69" s="29" t="s">
        <v>904</v>
      </c>
      <c r="B69" s="6" t="s">
        <v>1549</v>
      </c>
      <c r="C69" s="6" t="s">
        <v>1552</v>
      </c>
      <c r="D69" s="8" t="s">
        <v>418</v>
      </c>
      <c r="E69" s="8" t="s">
        <v>373</v>
      </c>
      <c r="F69" s="10" t="s">
        <v>1544</v>
      </c>
      <c r="G69" s="10" t="s">
        <v>8</v>
      </c>
      <c r="H69" s="30"/>
      <c r="I69" s="30"/>
      <c r="J69" s="30"/>
      <c r="K69" s="30"/>
    </row>
    <row r="70" spans="1:11" ht="21" customHeight="1" x14ac:dyDescent="0.45">
      <c r="A70" s="29" t="s">
        <v>905</v>
      </c>
      <c r="B70" s="6" t="s">
        <v>1549</v>
      </c>
      <c r="C70" s="6" t="s">
        <v>1552</v>
      </c>
      <c r="D70" s="8" t="s">
        <v>418</v>
      </c>
      <c r="E70" s="8" t="s">
        <v>373</v>
      </c>
      <c r="F70" s="10" t="s">
        <v>1544</v>
      </c>
      <c r="G70" s="10" t="s">
        <v>8</v>
      </c>
      <c r="H70" s="30"/>
      <c r="I70" s="30"/>
      <c r="J70" s="30"/>
      <c r="K70" s="30"/>
    </row>
    <row r="71" spans="1:11" ht="21" customHeight="1" x14ac:dyDescent="0.45">
      <c r="A71" s="29" t="s">
        <v>906</v>
      </c>
      <c r="B71" s="6" t="s">
        <v>1549</v>
      </c>
      <c r="C71" s="6" t="s">
        <v>1552</v>
      </c>
      <c r="D71" s="8" t="s">
        <v>419</v>
      </c>
      <c r="E71" s="8" t="s">
        <v>366</v>
      </c>
      <c r="F71" s="10" t="s">
        <v>366</v>
      </c>
      <c r="G71" s="10" t="s">
        <v>8</v>
      </c>
      <c r="H71" s="30"/>
      <c r="I71" s="30"/>
      <c r="J71" s="30"/>
      <c r="K71" s="30"/>
    </row>
    <row r="72" spans="1:11" ht="21" customHeight="1" x14ac:dyDescent="0.45">
      <c r="A72" s="29" t="s">
        <v>907</v>
      </c>
      <c r="B72" s="6" t="s">
        <v>1232</v>
      </c>
      <c r="C72" s="6" t="s">
        <v>1232</v>
      </c>
      <c r="D72" s="8" t="s">
        <v>420</v>
      </c>
      <c r="E72" s="8" t="s">
        <v>366</v>
      </c>
      <c r="F72" s="10" t="s">
        <v>366</v>
      </c>
      <c r="G72" s="10" t="s">
        <v>470</v>
      </c>
      <c r="H72" s="30"/>
      <c r="I72" s="30"/>
      <c r="J72" s="30"/>
      <c r="K72" s="30"/>
    </row>
    <row r="73" spans="1:11" ht="21" customHeight="1" x14ac:dyDescent="0.45">
      <c r="A73" s="29" t="s">
        <v>908</v>
      </c>
      <c r="B73" s="6" t="s">
        <v>589</v>
      </c>
      <c r="C73" s="6" t="s">
        <v>589</v>
      </c>
      <c r="D73" s="8" t="s">
        <v>421</v>
      </c>
      <c r="E73" s="8" t="s">
        <v>373</v>
      </c>
      <c r="F73" s="10" t="s">
        <v>1544</v>
      </c>
      <c r="G73" s="10" t="s">
        <v>471</v>
      </c>
      <c r="H73" s="30"/>
      <c r="I73" s="30"/>
      <c r="J73" s="30"/>
      <c r="K73" s="30"/>
    </row>
    <row r="74" spans="1:11" ht="21" customHeight="1" x14ac:dyDescent="0.45">
      <c r="A74" s="29" t="s">
        <v>909</v>
      </c>
      <c r="B74" s="6" t="s">
        <v>1549</v>
      </c>
      <c r="C74" s="6" t="s">
        <v>1552</v>
      </c>
      <c r="D74" s="8" t="s">
        <v>422</v>
      </c>
      <c r="E74" s="8" t="s">
        <v>373</v>
      </c>
      <c r="F74" s="10" t="s">
        <v>1544</v>
      </c>
      <c r="G74" s="10" t="s">
        <v>8</v>
      </c>
      <c r="H74" s="30"/>
      <c r="I74" s="30"/>
      <c r="J74" s="30"/>
      <c r="K74" s="30"/>
    </row>
    <row r="75" spans="1:11" ht="21" customHeight="1" x14ac:dyDescent="0.45">
      <c r="A75" s="29" t="s">
        <v>910</v>
      </c>
      <c r="B75" s="6" t="s">
        <v>589</v>
      </c>
      <c r="C75" s="6" t="s">
        <v>589</v>
      </c>
      <c r="D75" s="8" t="s">
        <v>423</v>
      </c>
      <c r="E75" s="8" t="s">
        <v>363</v>
      </c>
      <c r="F75" s="10" t="s">
        <v>1542</v>
      </c>
      <c r="G75" s="10" t="s">
        <v>471</v>
      </c>
      <c r="H75" s="30"/>
      <c r="I75" s="30"/>
      <c r="J75" s="30"/>
      <c r="K75" s="30"/>
    </row>
    <row r="76" spans="1:11" ht="21" customHeight="1" x14ac:dyDescent="0.45"/>
    <row r="77" spans="1:11" ht="21" customHeight="1" x14ac:dyDescent="0.45"/>
    <row r="78" spans="1:11" ht="21" customHeight="1" x14ac:dyDescent="0.45">
      <c r="A78" s="49"/>
      <c r="B78" s="49"/>
      <c r="C78" s="49"/>
      <c r="D78" s="49"/>
      <c r="E78" s="49"/>
      <c r="F78" s="49"/>
      <c r="G78" s="49"/>
    </row>
    <row r="79" spans="1:11" ht="21" customHeight="1" x14ac:dyDescent="0.45">
      <c r="A79" s="49"/>
      <c r="B79" s="49"/>
      <c r="C79" s="49"/>
      <c r="D79" s="49"/>
      <c r="E79" s="49"/>
      <c r="F79" s="49"/>
      <c r="G79" s="49"/>
    </row>
    <row r="80" spans="1:11" ht="21" customHeight="1" x14ac:dyDescent="0.45">
      <c r="A80" s="49"/>
      <c r="B80" s="49"/>
      <c r="C80" s="49"/>
      <c r="D80" s="49"/>
      <c r="E80" s="49"/>
      <c r="F80" s="49"/>
      <c r="G80" s="49"/>
    </row>
    <row r="81" spans="1:7" ht="21" customHeight="1" x14ac:dyDescent="0.45">
      <c r="A81" s="49"/>
      <c r="B81" s="49"/>
      <c r="C81" s="49"/>
      <c r="D81" s="49"/>
      <c r="E81" s="49"/>
      <c r="F81" s="49"/>
      <c r="G81" s="49"/>
    </row>
    <row r="82" spans="1:7" ht="21" customHeight="1" x14ac:dyDescent="0.45">
      <c r="A82" s="49"/>
      <c r="B82" s="49"/>
      <c r="C82" s="49"/>
      <c r="D82" s="49"/>
      <c r="E82" s="49"/>
      <c r="F82" s="49"/>
      <c r="G82" s="49"/>
    </row>
    <row r="83" spans="1:7" ht="21" customHeight="1" x14ac:dyDescent="0.45">
      <c r="A83" s="49"/>
      <c r="B83" s="49"/>
      <c r="C83" s="49"/>
      <c r="D83" s="49"/>
      <c r="E83" s="49"/>
      <c r="F83" s="49"/>
      <c r="G83" s="49"/>
    </row>
  </sheetData>
  <mergeCells count="3">
    <mergeCell ref="B2:C2"/>
    <mergeCell ref="D2:E2"/>
    <mergeCell ref="I13:J13"/>
  </mergeCells>
  <pageMargins left="0.7" right="0.7" top="0.78740157499999996" bottom="0.78740157499999996" header="0.3" footer="0.3"/>
  <tableParts count="4">
    <tablePart r:id="rId1"/>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5669-00F5-4CF5-BF51-904CAF7DC7BF}">
  <dimension ref="A1:K109"/>
  <sheetViews>
    <sheetView zoomScale="70" zoomScaleNormal="70" workbookViewId="0">
      <selection activeCell="A4" sqref="A4"/>
    </sheetView>
  </sheetViews>
  <sheetFormatPr baseColWidth="10" defaultRowHeight="14.25" x14ac:dyDescent="0.45"/>
  <cols>
    <col min="1" max="1" width="43.46484375" customWidth="1"/>
    <col min="2" max="2" width="25.265625" customWidth="1"/>
    <col min="3" max="3" width="30.796875" customWidth="1"/>
    <col min="4" max="4" width="20.53125" customWidth="1"/>
    <col min="5" max="5" width="27.59765625" customWidth="1"/>
    <col min="6" max="6" width="30.59765625" customWidth="1"/>
    <col min="7" max="7" width="13" customWidth="1"/>
    <col min="9" max="9" width="14.06640625" customWidth="1"/>
    <col min="10" max="10" width="41.33203125" customWidth="1"/>
  </cols>
  <sheetData>
    <row r="1" spans="1:11" ht="54" customHeight="1" x14ac:dyDescent="0.45">
      <c r="A1" s="37" t="s">
        <v>464</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911</v>
      </c>
      <c r="B4" s="6" t="s">
        <v>1518</v>
      </c>
      <c r="C4" s="6" t="s">
        <v>1530</v>
      </c>
      <c r="D4" s="8" t="s">
        <v>449</v>
      </c>
      <c r="E4" s="8" t="s">
        <v>424</v>
      </c>
      <c r="F4" s="10" t="s">
        <v>1535</v>
      </c>
      <c r="G4" s="10" t="s">
        <v>8</v>
      </c>
      <c r="H4" s="30"/>
      <c r="I4" s="10">
        <f>COUNTIF(Tabelle12265397112116120129137141145[[#All],[Merged Theme]],Tabelle10951259109113117126134138142[[#This Row],[Merged Theme]])</f>
        <v>20</v>
      </c>
      <c r="J4" s="16" t="s">
        <v>1538</v>
      </c>
      <c r="K4" s="9"/>
    </row>
    <row r="5" spans="1:11" s="47" customFormat="1" ht="21" customHeight="1" x14ac:dyDescent="0.45">
      <c r="A5" s="29" t="s">
        <v>912</v>
      </c>
      <c r="B5" s="6" t="s">
        <v>912</v>
      </c>
      <c r="C5" s="41" t="s">
        <v>1531</v>
      </c>
      <c r="D5" s="8" t="s">
        <v>449</v>
      </c>
      <c r="E5" s="42" t="s">
        <v>428</v>
      </c>
      <c r="F5" s="43" t="s">
        <v>1536</v>
      </c>
      <c r="G5" s="10" t="s">
        <v>8</v>
      </c>
      <c r="H5" s="44"/>
      <c r="I5" s="43">
        <f>COUNTIF(Tabelle12265397112116120129137141145[[#All],[Merged Theme]],Tabelle10951259109113117126134138142[[#This Row],[Merged Theme]])</f>
        <v>19</v>
      </c>
      <c r="J5" s="45" t="s">
        <v>1535</v>
      </c>
      <c r="K5" s="46"/>
    </row>
    <row r="6" spans="1:11" ht="21" customHeight="1" x14ac:dyDescent="0.45">
      <c r="A6" s="29" t="s">
        <v>913</v>
      </c>
      <c r="B6" s="6" t="s">
        <v>1519</v>
      </c>
      <c r="C6" s="6" t="s">
        <v>1531</v>
      </c>
      <c r="D6" s="8" t="s">
        <v>449</v>
      </c>
      <c r="E6" s="8" t="s">
        <v>425</v>
      </c>
      <c r="F6" s="10" t="s">
        <v>1537</v>
      </c>
      <c r="G6" s="10" t="s">
        <v>8</v>
      </c>
      <c r="H6" s="30"/>
      <c r="I6" s="43">
        <f>COUNTIF(Tabelle12265397112116120129137141145[[#All],[Merged Theme]],Tabelle10951259109113117126134138142[[#This Row],[Merged Theme]])</f>
        <v>18</v>
      </c>
      <c r="J6" s="45" t="s">
        <v>1539</v>
      </c>
      <c r="K6" s="9"/>
    </row>
    <row r="7" spans="1:11" ht="21" customHeight="1" x14ac:dyDescent="0.45">
      <c r="A7" s="29" t="s">
        <v>914</v>
      </c>
      <c r="B7" s="6" t="s">
        <v>936</v>
      </c>
      <c r="C7" s="6" t="s">
        <v>1531</v>
      </c>
      <c r="D7" s="8" t="s">
        <v>449</v>
      </c>
      <c r="E7" s="8" t="s">
        <v>425</v>
      </c>
      <c r="F7" s="10" t="s">
        <v>1537</v>
      </c>
      <c r="G7" s="10" t="s">
        <v>8</v>
      </c>
      <c r="H7" s="30"/>
      <c r="I7" s="43">
        <f>COUNTIF(Tabelle12265397112116120129137141145[[#All],[Merged Theme]],Tabelle10951259109113117126134138142[[#This Row],[Merged Theme]])</f>
        <v>16</v>
      </c>
      <c r="J7" s="45" t="s">
        <v>1540</v>
      </c>
      <c r="K7" s="9"/>
    </row>
    <row r="8" spans="1:11" ht="21" customHeight="1" x14ac:dyDescent="0.45">
      <c r="A8" s="29" t="s">
        <v>915</v>
      </c>
      <c r="B8" s="6" t="s">
        <v>1519</v>
      </c>
      <c r="C8" s="6" t="s">
        <v>1531</v>
      </c>
      <c r="D8" s="8" t="s">
        <v>449</v>
      </c>
      <c r="E8" s="8" t="s">
        <v>425</v>
      </c>
      <c r="F8" s="10" t="s">
        <v>1537</v>
      </c>
      <c r="G8" s="10" t="s">
        <v>8</v>
      </c>
      <c r="H8" s="30"/>
      <c r="I8" s="43">
        <f>COUNTIF(Tabelle12265397112116120129137141145[[#All],[Merged Theme]],Tabelle10951259109113117126134138142[[#This Row],[Merged Theme]])</f>
        <v>12</v>
      </c>
      <c r="J8" s="45" t="s">
        <v>1537</v>
      </c>
      <c r="K8" s="9"/>
    </row>
    <row r="9" spans="1:11" ht="21" customHeight="1" x14ac:dyDescent="0.45">
      <c r="A9" s="29" t="s">
        <v>916</v>
      </c>
      <c r="B9" s="6" t="s">
        <v>1520</v>
      </c>
      <c r="C9" s="6" t="s">
        <v>1532</v>
      </c>
      <c r="D9" s="8" t="s">
        <v>449</v>
      </c>
      <c r="E9" s="8" t="s">
        <v>429</v>
      </c>
      <c r="F9" s="10" t="s">
        <v>1538</v>
      </c>
      <c r="G9" s="10" t="s">
        <v>8</v>
      </c>
      <c r="H9" s="30"/>
      <c r="I9" s="43">
        <f>COUNTIF(Tabelle12265397112116120129137141145[[#All],[Merged Theme]],Tabelle10951259109113117126134138142[[#This Row],[Merged Theme]])</f>
        <v>11</v>
      </c>
      <c r="J9" s="45" t="s">
        <v>1536</v>
      </c>
      <c r="K9" s="33"/>
    </row>
    <row r="10" spans="1:11" ht="21" customHeight="1" x14ac:dyDescent="0.45">
      <c r="A10" s="29" t="s">
        <v>917</v>
      </c>
      <c r="B10" s="6" t="s">
        <v>1521</v>
      </c>
      <c r="C10" s="6" t="s">
        <v>1533</v>
      </c>
      <c r="D10" s="8" t="s">
        <v>449</v>
      </c>
      <c r="E10" s="8" t="s">
        <v>426</v>
      </c>
      <c r="F10" s="10" t="s">
        <v>1539</v>
      </c>
      <c r="G10" s="10" t="s">
        <v>8</v>
      </c>
      <c r="H10" s="30"/>
      <c r="I10" s="10">
        <f>COUNTIF(Tabelle12265397112116120129137141145[[#All],[Merged Theme]],Tabelle10951259109113117126134138142[[#This Row],[Merged Theme]])</f>
        <v>10</v>
      </c>
      <c r="J10" s="16" t="s">
        <v>1541</v>
      </c>
      <c r="K10" s="9"/>
    </row>
    <row r="11" spans="1:11" ht="21" customHeight="1" x14ac:dyDescent="0.45">
      <c r="A11" s="29" t="s">
        <v>918</v>
      </c>
      <c r="B11" s="6" t="s">
        <v>1521</v>
      </c>
      <c r="C11" s="6" t="s">
        <v>1533</v>
      </c>
      <c r="D11" s="8" t="s">
        <v>449</v>
      </c>
      <c r="E11" s="8" t="s">
        <v>426</v>
      </c>
      <c r="F11" s="10" t="s">
        <v>1539</v>
      </c>
      <c r="G11" s="10" t="s">
        <v>8</v>
      </c>
      <c r="H11" s="30"/>
      <c r="I11" s="17">
        <f>SUM(Tabelle10951259109113117126134138142[Mentions])</f>
        <v>106</v>
      </c>
      <c r="J11" s="18"/>
      <c r="K11" s="9"/>
    </row>
    <row r="12" spans="1:11" ht="21" customHeight="1" x14ac:dyDescent="0.65">
      <c r="A12" s="29" t="s">
        <v>919</v>
      </c>
      <c r="B12" s="6" t="s">
        <v>1518</v>
      </c>
      <c r="C12" s="6" t="s">
        <v>1530</v>
      </c>
      <c r="D12" s="8" t="s">
        <v>449</v>
      </c>
      <c r="E12" s="8" t="s">
        <v>424</v>
      </c>
      <c r="F12" s="10" t="s">
        <v>1535</v>
      </c>
      <c r="G12" s="10" t="s">
        <v>8</v>
      </c>
      <c r="H12" s="30"/>
      <c r="I12" s="30"/>
      <c r="J12" s="30"/>
      <c r="K12" s="31"/>
    </row>
    <row r="13" spans="1:11" ht="21" customHeight="1" x14ac:dyDescent="0.55000000000000004">
      <c r="A13" s="29" t="s">
        <v>920</v>
      </c>
      <c r="B13" s="6" t="s">
        <v>1520</v>
      </c>
      <c r="C13" s="6" t="s">
        <v>1532</v>
      </c>
      <c r="D13" s="8" t="s">
        <v>449</v>
      </c>
      <c r="E13" s="8" t="s">
        <v>429</v>
      </c>
      <c r="F13" s="10" t="s">
        <v>1538</v>
      </c>
      <c r="G13" s="10" t="s">
        <v>8</v>
      </c>
      <c r="H13" s="30"/>
      <c r="I13" s="30"/>
      <c r="J13" s="30"/>
      <c r="K13" s="34"/>
    </row>
    <row r="14" spans="1:11" ht="21" customHeight="1" x14ac:dyDescent="0.65">
      <c r="A14" s="29" t="s">
        <v>921</v>
      </c>
      <c r="B14" s="6" t="s">
        <v>1518</v>
      </c>
      <c r="C14" s="6" t="s">
        <v>1530</v>
      </c>
      <c r="D14" s="8" t="s">
        <v>449</v>
      </c>
      <c r="E14" s="8" t="s">
        <v>424</v>
      </c>
      <c r="F14" s="10" t="s">
        <v>1535</v>
      </c>
      <c r="G14" s="10" t="s">
        <v>8</v>
      </c>
      <c r="H14" s="30"/>
      <c r="I14" s="63" t="s">
        <v>451</v>
      </c>
      <c r="J14" s="63"/>
      <c r="K14" s="35"/>
    </row>
    <row r="15" spans="1:11" ht="21" customHeight="1" x14ac:dyDescent="0.55000000000000004">
      <c r="A15" s="29" t="s">
        <v>922</v>
      </c>
      <c r="B15" s="6" t="s">
        <v>1522</v>
      </c>
      <c r="C15" s="6" t="s">
        <v>1532</v>
      </c>
      <c r="D15" s="8" t="s">
        <v>449</v>
      </c>
      <c r="E15" s="8" t="s">
        <v>430</v>
      </c>
      <c r="F15" s="10" t="s">
        <v>1541</v>
      </c>
      <c r="G15" s="10" t="s">
        <v>8</v>
      </c>
      <c r="H15" s="30"/>
      <c r="I15" s="23" t="s">
        <v>5</v>
      </c>
      <c r="J15" s="22" t="s">
        <v>3</v>
      </c>
      <c r="K15" s="35"/>
    </row>
    <row r="16" spans="1:11" ht="21" customHeight="1" x14ac:dyDescent="0.45">
      <c r="A16" s="29" t="s">
        <v>923</v>
      </c>
      <c r="B16" s="6" t="s">
        <v>1523</v>
      </c>
      <c r="C16" s="6" t="s">
        <v>1523</v>
      </c>
      <c r="D16" s="8" t="s">
        <v>449</v>
      </c>
      <c r="E16" s="8" t="s">
        <v>425</v>
      </c>
      <c r="F16" s="10" t="s">
        <v>1537</v>
      </c>
      <c r="G16" s="10" t="s">
        <v>8</v>
      </c>
      <c r="H16" s="30"/>
      <c r="I16" s="6">
        <f>COUNTIF(Tabelle12265397112116120129137141145[A - Theme],Tabelle10911152394110114118127135139143[[#This Row],[Theme]])</f>
        <v>35</v>
      </c>
      <c r="J16" s="27" t="s">
        <v>1531</v>
      </c>
      <c r="K16" s="35"/>
    </row>
    <row r="17" spans="1:11" ht="21" customHeight="1" x14ac:dyDescent="0.45">
      <c r="A17" s="29" t="s">
        <v>924</v>
      </c>
      <c r="B17" s="6" t="s">
        <v>912</v>
      </c>
      <c r="C17" s="6" t="s">
        <v>1531</v>
      </c>
      <c r="D17" s="8" t="s">
        <v>449</v>
      </c>
      <c r="E17" s="8" t="s">
        <v>428</v>
      </c>
      <c r="F17" s="10" t="s">
        <v>1536</v>
      </c>
      <c r="G17" s="10" t="s">
        <v>8</v>
      </c>
      <c r="H17" s="30"/>
      <c r="I17" s="6">
        <f>COUNTIF(Tabelle12265397112116120129137141145[A - Theme],Tabelle10911152394110114118127135139143[[#This Row],[Theme]])</f>
        <v>25</v>
      </c>
      <c r="J17" s="27" t="s">
        <v>1532</v>
      </c>
      <c r="K17" s="35"/>
    </row>
    <row r="18" spans="1:11" ht="21" customHeight="1" x14ac:dyDescent="0.45">
      <c r="A18" s="29" t="s">
        <v>925</v>
      </c>
      <c r="B18" s="6" t="s">
        <v>936</v>
      </c>
      <c r="C18" s="6" t="s">
        <v>1531</v>
      </c>
      <c r="D18" s="8" t="s">
        <v>449</v>
      </c>
      <c r="E18" s="8" t="s">
        <v>427</v>
      </c>
      <c r="F18" s="10" t="s">
        <v>1540</v>
      </c>
      <c r="G18" s="10" t="s">
        <v>8</v>
      </c>
      <c r="H18" s="30"/>
      <c r="I18" s="6">
        <f>COUNTIF(Tabelle12265397112116120129137141145[A - Theme],Tabelle10911152394110114118127135139143[[#This Row],[Theme]])</f>
        <v>19</v>
      </c>
      <c r="J18" s="27" t="s">
        <v>1530</v>
      </c>
      <c r="K18" s="35"/>
    </row>
    <row r="19" spans="1:11" ht="21" customHeight="1" x14ac:dyDescent="0.45">
      <c r="A19" s="29" t="s">
        <v>121</v>
      </c>
      <c r="B19" s="6" t="s">
        <v>912</v>
      </c>
      <c r="C19" s="6" t="s">
        <v>1531</v>
      </c>
      <c r="D19" s="8" t="s">
        <v>449</v>
      </c>
      <c r="E19" s="8" t="s">
        <v>428</v>
      </c>
      <c r="F19" s="10" t="s">
        <v>1536</v>
      </c>
      <c r="G19" s="10" t="s">
        <v>8</v>
      </c>
      <c r="H19" s="30"/>
      <c r="I19" s="6">
        <f>COUNTIF(Tabelle12265397112116120129137141145[A - Theme],Tabelle10911152394110114118127135139143[[#This Row],[Theme]])</f>
        <v>15</v>
      </c>
      <c r="J19" s="27" t="s">
        <v>1533</v>
      </c>
      <c r="K19" s="35"/>
    </row>
    <row r="20" spans="1:11" ht="21" customHeight="1" x14ac:dyDescent="0.45">
      <c r="A20" s="29" t="s">
        <v>926</v>
      </c>
      <c r="B20" s="6" t="s">
        <v>1524</v>
      </c>
      <c r="C20" s="6" t="s">
        <v>1533</v>
      </c>
      <c r="D20" s="8" t="s">
        <v>449</v>
      </c>
      <c r="E20" s="8" t="s">
        <v>426</v>
      </c>
      <c r="F20" s="10" t="s">
        <v>1539</v>
      </c>
      <c r="G20" s="10" t="s">
        <v>8</v>
      </c>
      <c r="H20" s="30"/>
      <c r="I20" s="6">
        <f>COUNTIF(Tabelle12265397112116120129137141145[A - Theme],Tabelle10911152394110114118127135139143[[#This Row],[Theme]])</f>
        <v>7</v>
      </c>
      <c r="J20" s="27" t="s">
        <v>1523</v>
      </c>
      <c r="K20" s="35"/>
    </row>
    <row r="21" spans="1:11" ht="21" customHeight="1" x14ac:dyDescent="0.45">
      <c r="A21" s="29" t="s">
        <v>927</v>
      </c>
      <c r="B21" s="6" t="s">
        <v>1518</v>
      </c>
      <c r="C21" s="6" t="s">
        <v>1530</v>
      </c>
      <c r="D21" s="8" t="s">
        <v>449</v>
      </c>
      <c r="E21" s="8" t="s">
        <v>424</v>
      </c>
      <c r="F21" s="10" t="s">
        <v>1535</v>
      </c>
      <c r="G21" s="10" t="s">
        <v>8</v>
      </c>
      <c r="H21" s="30"/>
      <c r="I21" s="6">
        <f>COUNTIF(Tabelle12265397112116120129137141145[A - Theme],Tabelle10911152394110114118127135139143[[#This Row],[Theme]])</f>
        <v>5</v>
      </c>
      <c r="J21" s="27" t="s">
        <v>1534</v>
      </c>
      <c r="K21" s="35"/>
    </row>
    <row r="22" spans="1:11" ht="21" customHeight="1" x14ac:dyDescent="0.45">
      <c r="A22" s="29" t="s">
        <v>928</v>
      </c>
      <c r="B22" s="6"/>
      <c r="C22" s="6" t="s">
        <v>1531</v>
      </c>
      <c r="D22" s="8" t="s">
        <v>449</v>
      </c>
      <c r="E22" s="8" t="s">
        <v>427</v>
      </c>
      <c r="F22" s="10" t="s">
        <v>1540</v>
      </c>
      <c r="G22" s="10" t="s">
        <v>8</v>
      </c>
      <c r="H22" s="30"/>
      <c r="I22" s="20">
        <f>SUM(Tabelle10911152394110114118127135139143[Mentions])</f>
        <v>106</v>
      </c>
      <c r="J22" s="21"/>
      <c r="K22" s="35"/>
    </row>
    <row r="23" spans="1:11" ht="21" customHeight="1" x14ac:dyDescent="0.45">
      <c r="A23" s="29" t="s">
        <v>929</v>
      </c>
      <c r="B23" s="6" t="s">
        <v>1525</v>
      </c>
      <c r="C23" s="6" t="s">
        <v>1531</v>
      </c>
      <c r="D23" s="8" t="s">
        <v>449</v>
      </c>
      <c r="E23" s="8" t="s">
        <v>427</v>
      </c>
      <c r="F23" s="10" t="s">
        <v>1540</v>
      </c>
      <c r="G23" s="10" t="s">
        <v>8</v>
      </c>
      <c r="H23" s="30"/>
      <c r="I23" s="30"/>
      <c r="J23" s="30"/>
      <c r="K23" s="35"/>
    </row>
    <row r="24" spans="1:11" ht="21" customHeight="1" x14ac:dyDescent="0.45">
      <c r="A24" s="29" t="s">
        <v>930</v>
      </c>
      <c r="B24" s="6" t="s">
        <v>1524</v>
      </c>
      <c r="C24" s="6" t="s">
        <v>1533</v>
      </c>
      <c r="D24" s="8" t="s">
        <v>449</v>
      </c>
      <c r="E24" s="8" t="s">
        <v>426</v>
      </c>
      <c r="F24" s="10" t="s">
        <v>1539</v>
      </c>
      <c r="G24" s="10" t="s">
        <v>8</v>
      </c>
      <c r="H24" s="30"/>
      <c r="I24" s="30"/>
      <c r="J24" s="30"/>
      <c r="K24" s="33"/>
    </row>
    <row r="25" spans="1:11" ht="21" customHeight="1" x14ac:dyDescent="0.65">
      <c r="A25" s="29" t="s">
        <v>931</v>
      </c>
      <c r="B25" s="6" t="s">
        <v>1526</v>
      </c>
      <c r="C25" s="6" t="s">
        <v>1530</v>
      </c>
      <c r="D25" s="8" t="s">
        <v>449</v>
      </c>
      <c r="E25" s="8" t="s">
        <v>424</v>
      </c>
      <c r="F25" s="10" t="s">
        <v>1535</v>
      </c>
      <c r="G25" s="10" t="s">
        <v>8</v>
      </c>
      <c r="H25" s="30"/>
      <c r="I25" s="36" t="s">
        <v>452</v>
      </c>
      <c r="J25" s="36"/>
      <c r="K25" s="30"/>
    </row>
    <row r="26" spans="1:11" ht="21" customHeight="1" x14ac:dyDescent="0.55000000000000004">
      <c r="A26" s="29" t="s">
        <v>932</v>
      </c>
      <c r="B26" s="6" t="s">
        <v>1522</v>
      </c>
      <c r="C26" s="6" t="s">
        <v>1532</v>
      </c>
      <c r="D26" s="8" t="s">
        <v>449</v>
      </c>
      <c r="E26" s="8" t="s">
        <v>430</v>
      </c>
      <c r="F26" s="10" t="s">
        <v>1541</v>
      </c>
      <c r="G26" s="10" t="s">
        <v>8</v>
      </c>
      <c r="H26" s="30"/>
      <c r="I26" s="19" t="s">
        <v>5</v>
      </c>
      <c r="J26" s="19" t="s">
        <v>3</v>
      </c>
      <c r="K26" s="30"/>
    </row>
    <row r="27" spans="1:11" ht="21" customHeight="1" x14ac:dyDescent="0.45">
      <c r="A27" s="29" t="s">
        <v>922</v>
      </c>
      <c r="B27" s="6" t="s">
        <v>1522</v>
      </c>
      <c r="C27" s="6" t="s">
        <v>1532</v>
      </c>
      <c r="D27" s="8" t="s">
        <v>449</v>
      </c>
      <c r="E27" s="8" t="s">
        <v>430</v>
      </c>
      <c r="F27" s="10" t="s">
        <v>1541</v>
      </c>
      <c r="G27" s="10" t="s">
        <v>8</v>
      </c>
      <c r="H27" s="30"/>
      <c r="I27" s="8">
        <f>COUNTIF(Tabelle12265397112116120129137141145[B - Theme],Tabelle10911111258796111115119128136140144[[#This Row],[Theme]])</f>
        <v>19</v>
      </c>
      <c r="J27" s="26" t="s">
        <v>424</v>
      </c>
      <c r="K27" s="30"/>
    </row>
    <row r="28" spans="1:11" ht="21" customHeight="1" x14ac:dyDescent="0.45">
      <c r="A28" s="29" t="s">
        <v>933</v>
      </c>
      <c r="B28" s="6" t="s">
        <v>1520</v>
      </c>
      <c r="C28" s="6" t="s">
        <v>1532</v>
      </c>
      <c r="D28" s="8" t="s">
        <v>449</v>
      </c>
      <c r="E28" s="8" t="s">
        <v>429</v>
      </c>
      <c r="F28" s="10" t="s">
        <v>1538</v>
      </c>
      <c r="G28" s="10" t="s">
        <v>8</v>
      </c>
      <c r="H28" s="30"/>
      <c r="I28" s="8">
        <f>COUNTIF(Tabelle12265397112116120129137141145[B - Theme],Tabelle10911111258796111115119128136140144[[#This Row],[Theme]])</f>
        <v>12</v>
      </c>
      <c r="J28" s="26" t="s">
        <v>425</v>
      </c>
      <c r="K28" s="30"/>
    </row>
    <row r="29" spans="1:11" ht="21" customHeight="1" x14ac:dyDescent="0.45">
      <c r="A29" s="29" t="s">
        <v>934</v>
      </c>
      <c r="B29" s="6" t="s">
        <v>1524</v>
      </c>
      <c r="C29" s="6" t="s">
        <v>1533</v>
      </c>
      <c r="D29" s="8" t="s">
        <v>449</v>
      </c>
      <c r="E29" s="8" t="s">
        <v>426</v>
      </c>
      <c r="F29" s="10" t="s">
        <v>1539</v>
      </c>
      <c r="G29" s="10" t="s">
        <v>8</v>
      </c>
      <c r="H29" s="30"/>
      <c r="I29" s="8">
        <f>COUNTIF(Tabelle12265397112116120129137141145[B - Theme],Tabelle10911111258796111115119128136140144[[#This Row],[Theme]])</f>
        <v>18</v>
      </c>
      <c r="J29" s="26" t="s">
        <v>426</v>
      </c>
      <c r="K29" s="30"/>
    </row>
    <row r="30" spans="1:11" ht="21" customHeight="1" x14ac:dyDescent="0.45">
      <c r="A30" s="29" t="s">
        <v>935</v>
      </c>
      <c r="B30" s="6" t="s">
        <v>1527</v>
      </c>
      <c r="C30" s="6" t="s">
        <v>1530</v>
      </c>
      <c r="D30" s="8" t="s">
        <v>449</v>
      </c>
      <c r="E30" s="8" t="s">
        <v>424</v>
      </c>
      <c r="F30" s="10" t="s">
        <v>1535</v>
      </c>
      <c r="G30" s="10" t="s">
        <v>8</v>
      </c>
      <c r="H30" s="30"/>
      <c r="I30" s="8">
        <f>COUNTIF(Tabelle12265397112116120129137141145[B - Theme],Tabelle10911111258796111115119128136140144[[#This Row],[Theme]])</f>
        <v>16</v>
      </c>
      <c r="J30" s="26" t="s">
        <v>427</v>
      </c>
      <c r="K30" s="30"/>
    </row>
    <row r="31" spans="1:11" ht="21" customHeight="1" x14ac:dyDescent="0.45">
      <c r="A31" s="29" t="s">
        <v>936</v>
      </c>
      <c r="B31" s="6" t="s">
        <v>936</v>
      </c>
      <c r="C31" s="6" t="s">
        <v>1531</v>
      </c>
      <c r="D31" s="8" t="s">
        <v>449</v>
      </c>
      <c r="E31" s="8" t="s">
        <v>427</v>
      </c>
      <c r="F31" s="10" t="s">
        <v>1540</v>
      </c>
      <c r="G31" s="10" t="s">
        <v>8</v>
      </c>
      <c r="H31" s="30"/>
      <c r="I31" s="8">
        <f>COUNTIF(Tabelle12265397112116120129137141145[B - Theme],Tabelle10911111258796111115119128136140144[[#This Row],[Theme]])</f>
        <v>11</v>
      </c>
      <c r="J31" s="26" t="s">
        <v>428</v>
      </c>
      <c r="K31" s="30"/>
    </row>
    <row r="32" spans="1:11" ht="21" customHeight="1" x14ac:dyDescent="0.45">
      <c r="A32" s="29" t="s">
        <v>209</v>
      </c>
      <c r="B32" s="6" t="s">
        <v>936</v>
      </c>
      <c r="C32" s="6" t="s">
        <v>1531</v>
      </c>
      <c r="D32" s="8" t="s">
        <v>449</v>
      </c>
      <c r="E32" s="8" t="s">
        <v>429</v>
      </c>
      <c r="F32" s="10" t="s">
        <v>1538</v>
      </c>
      <c r="G32" s="10" t="s">
        <v>8</v>
      </c>
      <c r="H32" s="30"/>
      <c r="I32" s="8">
        <f>COUNTIF(Tabelle12265397112116120129137141145[B - Theme],Tabelle10911111258796111115119128136140144[[#This Row],[Theme]])</f>
        <v>20</v>
      </c>
      <c r="J32" s="26" t="s">
        <v>429</v>
      </c>
      <c r="K32" s="30"/>
    </row>
    <row r="33" spans="1:11" ht="21" customHeight="1" x14ac:dyDescent="0.45">
      <c r="A33" s="29" t="s">
        <v>937</v>
      </c>
      <c r="B33" s="6" t="s">
        <v>1523</v>
      </c>
      <c r="C33" s="6" t="s">
        <v>1523</v>
      </c>
      <c r="D33" s="8" t="s">
        <v>449</v>
      </c>
      <c r="E33" s="8" t="s">
        <v>425</v>
      </c>
      <c r="F33" s="10" t="s">
        <v>1537</v>
      </c>
      <c r="G33" s="10" t="s">
        <v>8</v>
      </c>
      <c r="H33" s="30"/>
      <c r="I33" s="8">
        <f>COUNTIF(Tabelle12265397112116120129137141145[B - Theme],Tabelle10911111258796111115119128136140144[[#This Row],[Theme]])</f>
        <v>10</v>
      </c>
      <c r="J33" s="26" t="s">
        <v>430</v>
      </c>
      <c r="K33" s="30"/>
    </row>
    <row r="34" spans="1:11" ht="21" customHeight="1" x14ac:dyDescent="0.45">
      <c r="A34" s="29" t="s">
        <v>938</v>
      </c>
      <c r="B34" s="6" t="s">
        <v>936</v>
      </c>
      <c r="C34" s="6" t="s">
        <v>1531</v>
      </c>
      <c r="D34" s="8" t="s">
        <v>449</v>
      </c>
      <c r="E34" s="8" t="s">
        <v>425</v>
      </c>
      <c r="F34" s="10" t="s">
        <v>1537</v>
      </c>
      <c r="G34" s="10" t="s">
        <v>8</v>
      </c>
      <c r="H34" s="30"/>
      <c r="I34" s="24">
        <f>SUM(Tabelle10911111258796111115119128136140144[Mentions])</f>
        <v>106</v>
      </c>
      <c r="J34" s="25"/>
      <c r="K34" s="30"/>
    </row>
    <row r="35" spans="1:11" ht="21" customHeight="1" x14ac:dyDescent="0.45">
      <c r="A35" s="29" t="s">
        <v>939</v>
      </c>
      <c r="B35" s="6" t="s">
        <v>1523</v>
      </c>
      <c r="C35" s="6" t="s">
        <v>1523</v>
      </c>
      <c r="D35" s="8" t="s">
        <v>449</v>
      </c>
      <c r="E35" s="8" t="s">
        <v>430</v>
      </c>
      <c r="F35" s="10" t="s">
        <v>1541</v>
      </c>
      <c r="G35" s="10" t="s">
        <v>471</v>
      </c>
      <c r="H35" s="30"/>
      <c r="I35" s="30"/>
      <c r="J35" s="30"/>
      <c r="K35" s="30"/>
    </row>
    <row r="36" spans="1:11" ht="21" customHeight="1" x14ac:dyDescent="0.45">
      <c r="A36" s="29" t="s">
        <v>940</v>
      </c>
      <c r="B36" s="6" t="s">
        <v>1523</v>
      </c>
      <c r="C36" s="6" t="s">
        <v>1523</v>
      </c>
      <c r="D36" s="8" t="s">
        <v>449</v>
      </c>
      <c r="E36" s="8" t="s">
        <v>425</v>
      </c>
      <c r="F36" s="10" t="s">
        <v>1537</v>
      </c>
      <c r="G36" s="10" t="s">
        <v>8</v>
      </c>
      <c r="H36" s="30"/>
      <c r="I36" s="30"/>
      <c r="J36" s="30"/>
      <c r="K36" s="30"/>
    </row>
    <row r="37" spans="1:11" ht="21" customHeight="1" x14ac:dyDescent="0.45">
      <c r="A37" s="29" t="s">
        <v>941</v>
      </c>
      <c r="B37" s="6" t="s">
        <v>936</v>
      </c>
      <c r="C37" s="6" t="s">
        <v>1531</v>
      </c>
      <c r="D37" s="8" t="s">
        <v>449</v>
      </c>
      <c r="E37" s="8" t="s">
        <v>427</v>
      </c>
      <c r="F37" s="10" t="s">
        <v>1540</v>
      </c>
      <c r="G37" s="10" t="s">
        <v>8</v>
      </c>
      <c r="H37" s="30"/>
      <c r="I37" s="30"/>
      <c r="J37" s="30"/>
      <c r="K37" s="30"/>
    </row>
    <row r="38" spans="1:11" ht="21" customHeight="1" x14ac:dyDescent="0.45">
      <c r="A38" s="29" t="s">
        <v>942</v>
      </c>
      <c r="B38" s="6" t="s">
        <v>1520</v>
      </c>
      <c r="C38" s="6" t="s">
        <v>1532</v>
      </c>
      <c r="D38" s="8" t="s">
        <v>449</v>
      </c>
      <c r="E38" s="8" t="s">
        <v>429</v>
      </c>
      <c r="F38" s="10" t="s">
        <v>1538</v>
      </c>
      <c r="G38" s="10" t="s">
        <v>8</v>
      </c>
      <c r="H38" s="30"/>
      <c r="I38" s="30"/>
      <c r="J38" s="30"/>
      <c r="K38" s="30"/>
    </row>
    <row r="39" spans="1:11" ht="21" customHeight="1" x14ac:dyDescent="0.45">
      <c r="A39" s="29" t="s">
        <v>943</v>
      </c>
      <c r="B39" s="6" t="s">
        <v>936</v>
      </c>
      <c r="C39" s="6" t="s">
        <v>1531</v>
      </c>
      <c r="D39" s="8" t="s">
        <v>449</v>
      </c>
      <c r="E39" s="8" t="s">
        <v>427</v>
      </c>
      <c r="F39" s="10" t="s">
        <v>1540</v>
      </c>
      <c r="G39" s="10" t="s">
        <v>8</v>
      </c>
      <c r="H39" s="30"/>
      <c r="I39" s="30"/>
      <c r="J39" s="30"/>
      <c r="K39" s="30"/>
    </row>
    <row r="40" spans="1:11" ht="21" customHeight="1" x14ac:dyDescent="0.45">
      <c r="A40" s="29" t="s">
        <v>944</v>
      </c>
      <c r="B40" s="6" t="s">
        <v>1528</v>
      </c>
      <c r="C40" s="6" t="s">
        <v>1534</v>
      </c>
      <c r="D40" s="8" t="s">
        <v>449</v>
      </c>
      <c r="E40" s="8" t="s">
        <v>428</v>
      </c>
      <c r="F40" s="10" t="s">
        <v>1536</v>
      </c>
      <c r="G40" s="10" t="s">
        <v>8</v>
      </c>
      <c r="H40" s="30"/>
      <c r="I40" s="30"/>
      <c r="J40" s="30"/>
      <c r="K40" s="30"/>
    </row>
    <row r="41" spans="1:11" ht="21" customHeight="1" x14ac:dyDescent="0.45">
      <c r="A41" s="29" t="s">
        <v>945</v>
      </c>
      <c r="B41" s="6" t="s">
        <v>1525</v>
      </c>
      <c r="C41" s="6" t="s">
        <v>1531</v>
      </c>
      <c r="D41" s="8" t="s">
        <v>449</v>
      </c>
      <c r="E41" s="8" t="s">
        <v>428</v>
      </c>
      <c r="F41" s="10" t="s">
        <v>1536</v>
      </c>
      <c r="G41" s="10" t="s">
        <v>8</v>
      </c>
      <c r="H41" s="30"/>
      <c r="I41" s="30"/>
      <c r="J41" s="30"/>
      <c r="K41" s="30"/>
    </row>
    <row r="42" spans="1:11" ht="21" customHeight="1" x14ac:dyDescent="0.45">
      <c r="A42" s="29" t="s">
        <v>946</v>
      </c>
      <c r="B42" s="6" t="s">
        <v>1524</v>
      </c>
      <c r="C42" s="6" t="s">
        <v>1533</v>
      </c>
      <c r="D42" s="8" t="s">
        <v>449</v>
      </c>
      <c r="E42" s="8" t="s">
        <v>426</v>
      </c>
      <c r="F42" s="10" t="s">
        <v>1539</v>
      </c>
      <c r="G42" s="10" t="s">
        <v>8</v>
      </c>
      <c r="H42" s="30"/>
      <c r="I42" s="30"/>
      <c r="J42" s="30"/>
      <c r="K42" s="30"/>
    </row>
    <row r="43" spans="1:11" ht="21" customHeight="1" x14ac:dyDescent="0.45">
      <c r="A43" s="29" t="s">
        <v>947</v>
      </c>
      <c r="B43" s="6" t="s">
        <v>1522</v>
      </c>
      <c r="C43" s="6" t="s">
        <v>1532</v>
      </c>
      <c r="D43" s="8" t="s">
        <v>449</v>
      </c>
      <c r="E43" s="8" t="s">
        <v>430</v>
      </c>
      <c r="F43" s="10" t="s">
        <v>1541</v>
      </c>
      <c r="G43" s="10" t="s">
        <v>8</v>
      </c>
      <c r="H43" s="30"/>
      <c r="I43" s="30"/>
      <c r="J43" s="30"/>
      <c r="K43" s="30"/>
    </row>
    <row r="44" spans="1:11" ht="21" customHeight="1" x14ac:dyDescent="0.45">
      <c r="A44" s="29" t="s">
        <v>948</v>
      </c>
      <c r="B44" s="6" t="s">
        <v>936</v>
      </c>
      <c r="C44" s="6" t="s">
        <v>1531</v>
      </c>
      <c r="D44" s="8" t="s">
        <v>449</v>
      </c>
      <c r="E44" s="8" t="s">
        <v>428</v>
      </c>
      <c r="F44" s="10" t="s">
        <v>1536</v>
      </c>
      <c r="G44" s="10" t="s">
        <v>8</v>
      </c>
      <c r="H44" s="30"/>
      <c r="I44" s="30"/>
      <c r="J44" s="30"/>
      <c r="K44" s="30"/>
    </row>
    <row r="45" spans="1:11" ht="21" customHeight="1" x14ac:dyDescent="0.45">
      <c r="A45" s="29" t="s">
        <v>949</v>
      </c>
      <c r="B45" s="6" t="s">
        <v>1518</v>
      </c>
      <c r="C45" s="6" t="s">
        <v>1530</v>
      </c>
      <c r="D45" s="8" t="s">
        <v>449</v>
      </c>
      <c r="E45" s="8" t="s">
        <v>424</v>
      </c>
      <c r="F45" s="10" t="s">
        <v>1535</v>
      </c>
      <c r="G45" s="10" t="s">
        <v>8</v>
      </c>
      <c r="H45" s="30"/>
      <c r="I45" s="30"/>
      <c r="J45" s="30"/>
      <c r="K45" s="30"/>
    </row>
    <row r="46" spans="1:11" ht="21" customHeight="1" x14ac:dyDescent="0.45">
      <c r="A46" s="29" t="s">
        <v>950</v>
      </c>
      <c r="B46" s="6" t="s">
        <v>1528</v>
      </c>
      <c r="C46" s="6" t="s">
        <v>1534</v>
      </c>
      <c r="D46" s="8" t="s">
        <v>449</v>
      </c>
      <c r="E46" s="8" t="s">
        <v>428</v>
      </c>
      <c r="F46" s="10" t="s">
        <v>1536</v>
      </c>
      <c r="G46" s="10" t="s">
        <v>8</v>
      </c>
      <c r="H46" s="30"/>
      <c r="I46" s="30"/>
      <c r="J46" s="30"/>
      <c r="K46" s="30"/>
    </row>
    <row r="47" spans="1:11" ht="21" customHeight="1" x14ac:dyDescent="0.45">
      <c r="A47" s="29" t="s">
        <v>920</v>
      </c>
      <c r="B47" s="6" t="s">
        <v>1520</v>
      </c>
      <c r="C47" s="6" t="s">
        <v>1532</v>
      </c>
      <c r="D47" s="8" t="s">
        <v>449</v>
      </c>
      <c r="E47" s="8" t="s">
        <v>429</v>
      </c>
      <c r="F47" s="10" t="s">
        <v>1538</v>
      </c>
      <c r="G47" s="10" t="s">
        <v>8</v>
      </c>
      <c r="H47" s="30"/>
      <c r="I47" s="30"/>
      <c r="J47" s="30"/>
      <c r="K47" s="30"/>
    </row>
    <row r="48" spans="1:11" ht="21" customHeight="1" x14ac:dyDescent="0.45">
      <c r="A48" s="29" t="s">
        <v>951</v>
      </c>
      <c r="B48" s="6" t="s">
        <v>1524</v>
      </c>
      <c r="C48" s="6" t="s">
        <v>1533</v>
      </c>
      <c r="D48" s="8" t="s">
        <v>449</v>
      </c>
      <c r="E48" s="8" t="s">
        <v>426</v>
      </c>
      <c r="F48" s="10" t="s">
        <v>1539</v>
      </c>
      <c r="G48" s="10" t="s">
        <v>8</v>
      </c>
      <c r="H48" s="30"/>
      <c r="I48" s="30"/>
      <c r="J48" s="30"/>
      <c r="K48" s="30"/>
    </row>
    <row r="49" spans="1:11" ht="21" customHeight="1" x14ac:dyDescent="0.45">
      <c r="A49" s="29" t="s">
        <v>952</v>
      </c>
      <c r="B49" s="6" t="s">
        <v>936</v>
      </c>
      <c r="C49" s="6" t="s">
        <v>1531</v>
      </c>
      <c r="D49" s="8" t="s">
        <v>449</v>
      </c>
      <c r="E49" s="8" t="s">
        <v>427</v>
      </c>
      <c r="F49" s="10" t="s">
        <v>1540</v>
      </c>
      <c r="G49" s="10" t="s">
        <v>8</v>
      </c>
      <c r="H49" s="30"/>
      <c r="I49" s="30"/>
      <c r="J49" s="30"/>
      <c r="K49" s="30"/>
    </row>
    <row r="50" spans="1:11" ht="21" customHeight="1" x14ac:dyDescent="0.45">
      <c r="A50" s="29" t="s">
        <v>953</v>
      </c>
      <c r="B50" s="6" t="s">
        <v>1521</v>
      </c>
      <c r="C50" s="6" t="s">
        <v>1533</v>
      </c>
      <c r="D50" s="8" t="s">
        <v>449</v>
      </c>
      <c r="E50" s="8" t="s">
        <v>426</v>
      </c>
      <c r="F50" s="10" t="s">
        <v>1539</v>
      </c>
      <c r="G50" s="10" t="s">
        <v>8</v>
      </c>
      <c r="H50" s="30"/>
      <c r="I50" s="30"/>
      <c r="J50" s="30"/>
      <c r="K50" s="30"/>
    </row>
    <row r="51" spans="1:11" ht="21" customHeight="1" x14ac:dyDescent="0.45">
      <c r="A51" s="29" t="s">
        <v>954</v>
      </c>
      <c r="B51" s="6" t="s">
        <v>1518</v>
      </c>
      <c r="C51" s="6" t="s">
        <v>1530</v>
      </c>
      <c r="D51" s="8" t="s">
        <v>449</v>
      </c>
      <c r="E51" s="8" t="s">
        <v>424</v>
      </c>
      <c r="F51" s="10" t="s">
        <v>1535</v>
      </c>
      <c r="G51" s="10" t="s">
        <v>8</v>
      </c>
      <c r="H51" s="30"/>
      <c r="I51" s="30"/>
      <c r="J51" s="30"/>
      <c r="K51" s="30"/>
    </row>
    <row r="52" spans="1:11" ht="21" customHeight="1" x14ac:dyDescent="0.45">
      <c r="A52" s="29" t="s">
        <v>955</v>
      </c>
      <c r="B52" s="6" t="s">
        <v>1521</v>
      </c>
      <c r="C52" s="6" t="s">
        <v>1533</v>
      </c>
      <c r="D52" s="8" t="s">
        <v>449</v>
      </c>
      <c r="E52" s="8" t="s">
        <v>426</v>
      </c>
      <c r="F52" s="10" t="s">
        <v>1539</v>
      </c>
      <c r="G52" s="10" t="s">
        <v>8</v>
      </c>
      <c r="H52" s="30"/>
      <c r="I52" s="30"/>
      <c r="J52" s="30"/>
      <c r="K52" s="30"/>
    </row>
    <row r="53" spans="1:11" ht="21" customHeight="1" x14ac:dyDescent="0.45">
      <c r="A53" s="29" t="s">
        <v>956</v>
      </c>
      <c r="B53" s="6" t="s">
        <v>1523</v>
      </c>
      <c r="C53" s="6" t="s">
        <v>1523</v>
      </c>
      <c r="D53" s="8" t="s">
        <v>449</v>
      </c>
      <c r="E53" s="8" t="s">
        <v>425</v>
      </c>
      <c r="F53" s="10" t="s">
        <v>1537</v>
      </c>
      <c r="G53" s="10" t="s">
        <v>8</v>
      </c>
      <c r="H53" s="30"/>
      <c r="I53" s="30"/>
      <c r="J53" s="30"/>
      <c r="K53" s="30"/>
    </row>
    <row r="54" spans="1:11" ht="21" customHeight="1" x14ac:dyDescent="0.45">
      <c r="A54" s="29" t="s">
        <v>957</v>
      </c>
      <c r="B54" s="6" t="s">
        <v>1520</v>
      </c>
      <c r="C54" s="6" t="s">
        <v>1532</v>
      </c>
      <c r="D54" s="8" t="s">
        <v>449</v>
      </c>
      <c r="E54" s="8" t="s">
        <v>429</v>
      </c>
      <c r="F54" s="10" t="s">
        <v>1538</v>
      </c>
      <c r="G54" s="10" t="s">
        <v>8</v>
      </c>
      <c r="H54" s="30"/>
      <c r="I54" s="30"/>
      <c r="J54" s="30"/>
      <c r="K54" s="30"/>
    </row>
    <row r="55" spans="1:11" ht="21" customHeight="1" x14ac:dyDescent="0.45">
      <c r="A55" s="29" t="s">
        <v>958</v>
      </c>
      <c r="B55" s="6" t="s">
        <v>1520</v>
      </c>
      <c r="C55" s="6" t="s">
        <v>1532</v>
      </c>
      <c r="D55" s="8" t="s">
        <v>449</v>
      </c>
      <c r="E55" s="8" t="s">
        <v>429</v>
      </c>
      <c r="F55" s="10" t="s">
        <v>1538</v>
      </c>
      <c r="G55" s="10" t="s">
        <v>8</v>
      </c>
      <c r="H55" s="30"/>
      <c r="I55" s="30"/>
      <c r="J55" s="30"/>
      <c r="K55" s="30"/>
    </row>
    <row r="56" spans="1:11" ht="21" customHeight="1" x14ac:dyDescent="0.45">
      <c r="A56" s="29" t="s">
        <v>959</v>
      </c>
      <c r="B56" s="6" t="s">
        <v>1525</v>
      </c>
      <c r="C56" s="6" t="s">
        <v>1531</v>
      </c>
      <c r="D56" s="8" t="s">
        <v>449</v>
      </c>
      <c r="E56" s="8" t="s">
        <v>429</v>
      </c>
      <c r="F56" s="10" t="s">
        <v>1538</v>
      </c>
      <c r="G56" s="10" t="s">
        <v>8</v>
      </c>
      <c r="H56" s="30"/>
      <c r="I56" s="30"/>
      <c r="J56" s="30"/>
      <c r="K56" s="30"/>
    </row>
    <row r="57" spans="1:11" ht="21" customHeight="1" x14ac:dyDescent="0.45">
      <c r="A57" s="29" t="s">
        <v>960</v>
      </c>
      <c r="B57" s="6" t="s">
        <v>1525</v>
      </c>
      <c r="C57" s="6" t="s">
        <v>1531</v>
      </c>
      <c r="D57" s="8" t="s">
        <v>449</v>
      </c>
      <c r="E57" s="8" t="s">
        <v>429</v>
      </c>
      <c r="F57" s="10" t="s">
        <v>1538</v>
      </c>
      <c r="G57" s="10" t="s">
        <v>8</v>
      </c>
      <c r="H57" s="30"/>
      <c r="I57" s="30"/>
      <c r="J57" s="30"/>
      <c r="K57" s="30"/>
    </row>
    <row r="58" spans="1:11" ht="21" customHeight="1" x14ac:dyDescent="0.45">
      <c r="A58" s="29" t="s">
        <v>961</v>
      </c>
      <c r="B58" s="6" t="s">
        <v>1525</v>
      </c>
      <c r="C58" s="6" t="s">
        <v>1531</v>
      </c>
      <c r="D58" s="8" t="s">
        <v>449</v>
      </c>
      <c r="E58" s="8" t="s">
        <v>429</v>
      </c>
      <c r="F58" s="10" t="s">
        <v>1538</v>
      </c>
      <c r="G58" s="10" t="s">
        <v>8</v>
      </c>
      <c r="H58" s="30"/>
      <c r="I58" s="30"/>
      <c r="J58" s="30"/>
      <c r="K58" s="30"/>
    </row>
    <row r="59" spans="1:11" ht="21" customHeight="1" x14ac:dyDescent="0.45">
      <c r="A59" s="29" t="s">
        <v>962</v>
      </c>
      <c r="B59" s="6" t="s">
        <v>1525</v>
      </c>
      <c r="C59" s="6" t="s">
        <v>1531</v>
      </c>
      <c r="D59" s="8" t="s">
        <v>449</v>
      </c>
      <c r="E59" s="8" t="s">
        <v>427</v>
      </c>
      <c r="F59" s="10" t="s">
        <v>1540</v>
      </c>
      <c r="G59" s="10" t="s">
        <v>8</v>
      </c>
      <c r="H59" s="30"/>
      <c r="I59" s="30"/>
      <c r="J59" s="30"/>
      <c r="K59" s="30"/>
    </row>
    <row r="60" spans="1:11" ht="21" customHeight="1" x14ac:dyDescent="0.45">
      <c r="A60" s="29" t="s">
        <v>963</v>
      </c>
      <c r="B60" s="6" t="s">
        <v>1518</v>
      </c>
      <c r="C60" s="6" t="s">
        <v>1530</v>
      </c>
      <c r="D60" s="8" t="s">
        <v>449</v>
      </c>
      <c r="E60" s="8" t="s">
        <v>424</v>
      </c>
      <c r="F60" s="10" t="s">
        <v>1535</v>
      </c>
      <c r="G60" s="10" t="s">
        <v>8</v>
      </c>
      <c r="H60" s="30"/>
      <c r="I60" s="30"/>
      <c r="J60" s="30"/>
      <c r="K60" s="30"/>
    </row>
    <row r="61" spans="1:11" ht="21" customHeight="1" x14ac:dyDescent="0.45">
      <c r="A61" s="29" t="s">
        <v>964</v>
      </c>
      <c r="B61" s="6" t="s">
        <v>1528</v>
      </c>
      <c r="C61" s="6" t="s">
        <v>1534</v>
      </c>
      <c r="D61" s="8" t="s">
        <v>449</v>
      </c>
      <c r="E61" s="8" t="s">
        <v>428</v>
      </c>
      <c r="F61" s="10" t="s">
        <v>1536</v>
      </c>
      <c r="G61" s="10" t="s">
        <v>8</v>
      </c>
      <c r="H61" s="30"/>
      <c r="I61" s="30"/>
      <c r="J61" s="30"/>
      <c r="K61" s="30"/>
    </row>
    <row r="62" spans="1:11" ht="21" customHeight="1" x14ac:dyDescent="0.45">
      <c r="A62" s="29" t="s">
        <v>965</v>
      </c>
      <c r="B62" s="6" t="s">
        <v>1526</v>
      </c>
      <c r="C62" s="6" t="s">
        <v>1530</v>
      </c>
      <c r="D62" s="8" t="s">
        <v>449</v>
      </c>
      <c r="E62" s="8" t="s">
        <v>424</v>
      </c>
      <c r="F62" s="10" t="s">
        <v>1535</v>
      </c>
      <c r="G62" s="10" t="s">
        <v>8</v>
      </c>
      <c r="H62" s="30"/>
      <c r="I62" s="30"/>
      <c r="J62" s="30"/>
      <c r="K62" s="30"/>
    </row>
    <row r="63" spans="1:11" ht="21" customHeight="1" x14ac:dyDescent="0.45">
      <c r="A63" s="29" t="s">
        <v>966</v>
      </c>
      <c r="B63" s="6" t="s">
        <v>1520</v>
      </c>
      <c r="C63" s="6" t="s">
        <v>1532</v>
      </c>
      <c r="D63" s="8" t="s">
        <v>449</v>
      </c>
      <c r="E63" s="8" t="s">
        <v>429</v>
      </c>
      <c r="F63" s="10" t="s">
        <v>1538</v>
      </c>
      <c r="G63" s="10" t="s">
        <v>8</v>
      </c>
      <c r="H63" s="30"/>
      <c r="I63" s="30"/>
      <c r="J63" s="30"/>
      <c r="K63" s="30"/>
    </row>
    <row r="64" spans="1:11" ht="21" customHeight="1" x14ac:dyDescent="0.45">
      <c r="A64" s="29" t="s">
        <v>967</v>
      </c>
      <c r="B64" s="6" t="s">
        <v>936</v>
      </c>
      <c r="C64" s="6" t="s">
        <v>1531</v>
      </c>
      <c r="D64" s="8" t="s">
        <v>449</v>
      </c>
      <c r="E64" s="8" t="s">
        <v>427</v>
      </c>
      <c r="F64" s="10" t="s">
        <v>1540</v>
      </c>
      <c r="G64" s="10" t="s">
        <v>8</v>
      </c>
      <c r="H64" s="30"/>
      <c r="I64" s="30"/>
      <c r="J64" s="30"/>
      <c r="K64" s="30"/>
    </row>
    <row r="65" spans="1:11" ht="21" customHeight="1" x14ac:dyDescent="0.45">
      <c r="A65" s="29" t="s">
        <v>968</v>
      </c>
      <c r="B65" s="6" t="s">
        <v>1524</v>
      </c>
      <c r="C65" s="6" t="s">
        <v>1533</v>
      </c>
      <c r="D65" s="8" t="s">
        <v>449</v>
      </c>
      <c r="E65" s="8" t="s">
        <v>426</v>
      </c>
      <c r="F65" s="10" t="s">
        <v>1539</v>
      </c>
      <c r="G65" s="10" t="s">
        <v>8</v>
      </c>
      <c r="H65" s="30"/>
      <c r="I65" s="30"/>
      <c r="J65" s="30"/>
      <c r="K65" s="30"/>
    </row>
    <row r="66" spans="1:11" ht="21" customHeight="1" x14ac:dyDescent="0.45">
      <c r="A66" s="29" t="s">
        <v>969</v>
      </c>
      <c r="B66" s="6" t="s">
        <v>1522</v>
      </c>
      <c r="C66" s="6" t="s">
        <v>1532</v>
      </c>
      <c r="D66" s="8" t="s">
        <v>449</v>
      </c>
      <c r="E66" s="8" t="s">
        <v>430</v>
      </c>
      <c r="F66" s="10" t="s">
        <v>1541</v>
      </c>
      <c r="G66" s="10" t="s">
        <v>8</v>
      </c>
      <c r="H66" s="30"/>
      <c r="I66" s="30"/>
      <c r="J66" s="30"/>
      <c r="K66" s="30"/>
    </row>
    <row r="67" spans="1:11" ht="21" customHeight="1" x14ac:dyDescent="0.45">
      <c r="A67" s="29" t="s">
        <v>970</v>
      </c>
      <c r="B67" s="6" t="s">
        <v>936</v>
      </c>
      <c r="C67" s="6" t="s">
        <v>1531</v>
      </c>
      <c r="D67" s="8" t="s">
        <v>449</v>
      </c>
      <c r="E67" s="8" t="s">
        <v>427</v>
      </c>
      <c r="F67" s="10" t="s">
        <v>1540</v>
      </c>
      <c r="G67" s="10" t="s">
        <v>8</v>
      </c>
      <c r="H67" s="30"/>
      <c r="I67" s="30"/>
      <c r="J67" s="30"/>
      <c r="K67" s="30"/>
    </row>
    <row r="68" spans="1:11" ht="21" customHeight="1" x14ac:dyDescent="0.45">
      <c r="A68" s="29" t="s">
        <v>971</v>
      </c>
      <c r="B68" s="6" t="s">
        <v>1523</v>
      </c>
      <c r="C68" s="6" t="s">
        <v>1523</v>
      </c>
      <c r="D68" s="8" t="s">
        <v>449</v>
      </c>
      <c r="E68" s="8" t="s">
        <v>425</v>
      </c>
      <c r="F68" s="10" t="s">
        <v>1537</v>
      </c>
      <c r="G68" s="10" t="s">
        <v>8</v>
      </c>
      <c r="H68" s="30"/>
      <c r="I68" s="30"/>
      <c r="J68" s="30"/>
      <c r="K68" s="30"/>
    </row>
    <row r="69" spans="1:11" ht="21" customHeight="1" x14ac:dyDescent="0.45">
      <c r="A69" s="29" t="s">
        <v>972</v>
      </c>
      <c r="B69" s="6" t="s">
        <v>1520</v>
      </c>
      <c r="C69" s="6" t="s">
        <v>1532</v>
      </c>
      <c r="D69" s="8" t="s">
        <v>449</v>
      </c>
      <c r="E69" s="8" t="s">
        <v>429</v>
      </c>
      <c r="F69" s="10" t="s">
        <v>1538</v>
      </c>
      <c r="G69" s="10" t="s">
        <v>8</v>
      </c>
      <c r="H69" s="30"/>
      <c r="I69" s="30"/>
      <c r="J69" s="30"/>
      <c r="K69" s="30"/>
    </row>
    <row r="70" spans="1:11" ht="21" customHeight="1" x14ac:dyDescent="0.45">
      <c r="A70" s="29" t="s">
        <v>973</v>
      </c>
      <c r="B70" s="6" t="s">
        <v>1523</v>
      </c>
      <c r="C70" s="6" t="s">
        <v>1523</v>
      </c>
      <c r="D70" s="8" t="s">
        <v>449</v>
      </c>
      <c r="E70" s="8" t="s">
        <v>425</v>
      </c>
      <c r="F70" s="10" t="s">
        <v>1537</v>
      </c>
      <c r="G70" s="10" t="s">
        <v>8</v>
      </c>
      <c r="H70" s="30"/>
      <c r="I70" s="30"/>
      <c r="J70" s="30"/>
      <c r="K70" s="30"/>
    </row>
    <row r="71" spans="1:11" ht="21" customHeight="1" x14ac:dyDescent="0.45">
      <c r="A71" s="29" t="s">
        <v>974</v>
      </c>
      <c r="B71" s="6" t="s">
        <v>1524</v>
      </c>
      <c r="C71" s="6" t="s">
        <v>1533</v>
      </c>
      <c r="D71" s="8" t="s">
        <v>449</v>
      </c>
      <c r="E71" s="8" t="s">
        <v>426</v>
      </c>
      <c r="F71" s="10" t="s">
        <v>1539</v>
      </c>
      <c r="G71" s="10" t="s">
        <v>8</v>
      </c>
      <c r="H71" s="30"/>
      <c r="I71" s="30"/>
      <c r="J71" s="30"/>
      <c r="K71" s="30"/>
    </row>
    <row r="72" spans="1:11" ht="21" customHeight="1" x14ac:dyDescent="0.45">
      <c r="A72" s="29" t="s">
        <v>975</v>
      </c>
      <c r="B72" s="6" t="s">
        <v>1519</v>
      </c>
      <c r="C72" s="6" t="s">
        <v>1531</v>
      </c>
      <c r="D72" s="8" t="s">
        <v>449</v>
      </c>
      <c r="E72" s="8" t="s">
        <v>425</v>
      </c>
      <c r="F72" s="10" t="s">
        <v>1537</v>
      </c>
      <c r="G72" s="10" t="s">
        <v>8</v>
      </c>
      <c r="H72" s="30"/>
      <c r="I72" s="30"/>
      <c r="J72" s="30"/>
      <c r="K72" s="30"/>
    </row>
    <row r="73" spans="1:11" ht="21" customHeight="1" x14ac:dyDescent="0.45">
      <c r="A73" s="29" t="s">
        <v>976</v>
      </c>
      <c r="B73" s="6" t="s">
        <v>1520</v>
      </c>
      <c r="C73" s="6" t="s">
        <v>1532</v>
      </c>
      <c r="D73" s="8" t="s">
        <v>449</v>
      </c>
      <c r="E73" s="8" t="s">
        <v>429</v>
      </c>
      <c r="F73" s="10" t="s">
        <v>1538</v>
      </c>
      <c r="G73" s="10" t="s">
        <v>8</v>
      </c>
      <c r="H73" s="30"/>
      <c r="I73" s="30"/>
      <c r="J73" s="30"/>
      <c r="K73" s="30"/>
    </row>
    <row r="74" spans="1:11" ht="21" customHeight="1" x14ac:dyDescent="0.45">
      <c r="A74" s="29" t="s">
        <v>977</v>
      </c>
      <c r="B74" s="6" t="s">
        <v>912</v>
      </c>
      <c r="C74" s="6" t="s">
        <v>1531</v>
      </c>
      <c r="D74" s="8" t="s">
        <v>449</v>
      </c>
      <c r="E74" s="8" t="s">
        <v>428</v>
      </c>
      <c r="F74" s="10" t="s">
        <v>1536</v>
      </c>
      <c r="G74" s="10" t="s">
        <v>8</v>
      </c>
      <c r="H74" s="30"/>
      <c r="I74" s="30"/>
      <c r="J74" s="30"/>
      <c r="K74" s="30"/>
    </row>
    <row r="75" spans="1:11" ht="21" customHeight="1" x14ac:dyDescent="0.45">
      <c r="A75" s="29" t="s">
        <v>978</v>
      </c>
      <c r="B75" s="6" t="s">
        <v>936</v>
      </c>
      <c r="C75" s="6" t="s">
        <v>1531</v>
      </c>
      <c r="D75" s="8" t="s">
        <v>449</v>
      </c>
      <c r="E75" s="8" t="s">
        <v>427</v>
      </c>
      <c r="F75" s="10" t="s">
        <v>1540</v>
      </c>
      <c r="G75" s="10" t="s">
        <v>8</v>
      </c>
      <c r="H75" s="30"/>
      <c r="I75" s="30"/>
      <c r="J75" s="30"/>
      <c r="K75" s="30"/>
    </row>
    <row r="76" spans="1:11" ht="21" customHeight="1" x14ac:dyDescent="0.45">
      <c r="A76" s="29" t="s">
        <v>979</v>
      </c>
      <c r="B76" s="6" t="s">
        <v>1520</v>
      </c>
      <c r="C76" s="6" t="s">
        <v>1532</v>
      </c>
      <c r="D76" s="8" t="s">
        <v>449</v>
      </c>
      <c r="E76" s="8" t="s">
        <v>429</v>
      </c>
      <c r="F76" s="10" t="s">
        <v>1538</v>
      </c>
      <c r="G76" s="10" t="s">
        <v>8</v>
      </c>
      <c r="H76" s="30"/>
      <c r="I76" s="30"/>
      <c r="J76" s="30"/>
      <c r="K76" s="30"/>
    </row>
    <row r="77" spans="1:11" ht="21" customHeight="1" x14ac:dyDescent="0.45">
      <c r="A77" s="29" t="s">
        <v>980</v>
      </c>
      <c r="B77" s="6" t="s">
        <v>1524</v>
      </c>
      <c r="C77" s="6" t="s">
        <v>1533</v>
      </c>
      <c r="D77" s="8" t="s">
        <v>449</v>
      </c>
      <c r="E77" s="8" t="s">
        <v>426</v>
      </c>
      <c r="F77" s="10" t="s">
        <v>1539</v>
      </c>
      <c r="G77" s="10" t="s">
        <v>8</v>
      </c>
      <c r="H77" s="30"/>
      <c r="I77" s="30"/>
      <c r="J77" s="30"/>
      <c r="K77" s="30"/>
    </row>
    <row r="78" spans="1:11" ht="21" customHeight="1" x14ac:dyDescent="0.45">
      <c r="A78" s="29" t="s">
        <v>981</v>
      </c>
      <c r="B78" s="6" t="s">
        <v>1518</v>
      </c>
      <c r="C78" s="6" t="s">
        <v>1530</v>
      </c>
      <c r="D78" s="8" t="s">
        <v>449</v>
      </c>
      <c r="E78" s="8" t="s">
        <v>424</v>
      </c>
      <c r="F78" s="10" t="s">
        <v>1535</v>
      </c>
      <c r="G78" s="10" t="s">
        <v>8</v>
      </c>
      <c r="H78" s="30"/>
      <c r="I78" s="30"/>
      <c r="J78" s="30"/>
      <c r="K78" s="30"/>
    </row>
    <row r="79" spans="1:11" ht="21" customHeight="1" x14ac:dyDescent="0.45">
      <c r="A79" s="29" t="s">
        <v>936</v>
      </c>
      <c r="B79" s="6" t="s">
        <v>936</v>
      </c>
      <c r="C79" s="6" t="s">
        <v>1531</v>
      </c>
      <c r="D79" s="8" t="s">
        <v>449</v>
      </c>
      <c r="E79" s="8" t="s">
        <v>427</v>
      </c>
      <c r="F79" s="10" t="s">
        <v>1540</v>
      </c>
      <c r="G79" s="10" t="s">
        <v>8</v>
      </c>
      <c r="H79" s="30"/>
      <c r="I79" s="30"/>
      <c r="J79" s="30"/>
      <c r="K79" s="30"/>
    </row>
    <row r="80" spans="1:11" ht="21" customHeight="1" x14ac:dyDescent="0.45">
      <c r="A80" s="29" t="s">
        <v>982</v>
      </c>
      <c r="B80" s="6" t="s">
        <v>1525</v>
      </c>
      <c r="C80" s="6" t="s">
        <v>1531</v>
      </c>
      <c r="D80" s="8" t="s">
        <v>449</v>
      </c>
      <c r="E80" s="8" t="s">
        <v>426</v>
      </c>
      <c r="F80" s="10" t="s">
        <v>1539</v>
      </c>
      <c r="G80" s="10" t="s">
        <v>8</v>
      </c>
      <c r="H80" s="30"/>
      <c r="I80" s="30"/>
      <c r="J80" s="30"/>
      <c r="K80" s="30"/>
    </row>
    <row r="81" spans="1:11" ht="21" customHeight="1" x14ac:dyDescent="0.45">
      <c r="A81" s="29" t="s">
        <v>983</v>
      </c>
      <c r="B81" s="6" t="s">
        <v>1518</v>
      </c>
      <c r="C81" s="6" t="s">
        <v>1530</v>
      </c>
      <c r="D81" s="8" t="s">
        <v>449</v>
      </c>
      <c r="E81" s="8" t="s">
        <v>424</v>
      </c>
      <c r="F81" s="10" t="s">
        <v>1535</v>
      </c>
      <c r="G81" s="10" t="s">
        <v>8</v>
      </c>
      <c r="H81" s="30"/>
      <c r="I81" s="30"/>
      <c r="J81" s="30"/>
      <c r="K81" s="30"/>
    </row>
    <row r="82" spans="1:11" ht="21" customHeight="1" x14ac:dyDescent="0.45">
      <c r="A82" s="29" t="s">
        <v>984</v>
      </c>
      <c r="B82" s="6" t="s">
        <v>1525</v>
      </c>
      <c r="C82" s="6" t="s">
        <v>1531</v>
      </c>
      <c r="D82" s="8" t="s">
        <v>449</v>
      </c>
      <c r="E82" s="8" t="s">
        <v>427</v>
      </c>
      <c r="F82" s="10" t="s">
        <v>1540</v>
      </c>
      <c r="G82" s="10" t="s">
        <v>8</v>
      </c>
      <c r="H82" s="30"/>
      <c r="I82" s="30"/>
      <c r="J82" s="30"/>
      <c r="K82" s="30"/>
    </row>
    <row r="83" spans="1:11" ht="21" customHeight="1" x14ac:dyDescent="0.45">
      <c r="A83" s="29" t="s">
        <v>985</v>
      </c>
      <c r="B83" s="6" t="s">
        <v>1520</v>
      </c>
      <c r="C83" s="6" t="s">
        <v>1532</v>
      </c>
      <c r="D83" s="8" t="s">
        <v>449</v>
      </c>
      <c r="E83" s="8" t="s">
        <v>429</v>
      </c>
      <c r="F83" s="10" t="s">
        <v>1538</v>
      </c>
      <c r="G83" s="10" t="s">
        <v>8</v>
      </c>
      <c r="H83" s="30"/>
      <c r="I83" s="30"/>
      <c r="J83" s="30"/>
      <c r="K83" s="30"/>
    </row>
    <row r="84" spans="1:11" ht="21" customHeight="1" x14ac:dyDescent="0.45">
      <c r="A84" s="29" t="s">
        <v>986</v>
      </c>
      <c r="B84" s="6" t="s">
        <v>1518</v>
      </c>
      <c r="C84" s="6" t="s">
        <v>1530</v>
      </c>
      <c r="D84" s="8" t="s">
        <v>449</v>
      </c>
      <c r="E84" s="8" t="s">
        <v>424</v>
      </c>
      <c r="F84" s="10" t="s">
        <v>1535</v>
      </c>
      <c r="G84" s="10" t="s">
        <v>8</v>
      </c>
      <c r="H84" s="30"/>
      <c r="I84" s="30"/>
      <c r="J84" s="30"/>
      <c r="K84" s="30"/>
    </row>
    <row r="85" spans="1:11" ht="21" customHeight="1" x14ac:dyDescent="0.45">
      <c r="A85" s="29" t="s">
        <v>987</v>
      </c>
      <c r="B85" s="6" t="s">
        <v>1529</v>
      </c>
      <c r="C85" s="6" t="s">
        <v>1531</v>
      </c>
      <c r="D85" s="8" t="s">
        <v>449</v>
      </c>
      <c r="E85" s="8" t="s">
        <v>428</v>
      </c>
      <c r="F85" s="10" t="s">
        <v>1536</v>
      </c>
      <c r="G85" s="10" t="s">
        <v>8</v>
      </c>
      <c r="H85" s="30"/>
      <c r="I85" s="30"/>
      <c r="J85" s="30"/>
      <c r="K85" s="30"/>
    </row>
    <row r="86" spans="1:11" ht="21" customHeight="1" x14ac:dyDescent="0.45">
      <c r="A86" s="29" t="s">
        <v>988</v>
      </c>
      <c r="B86" s="6" t="s">
        <v>1529</v>
      </c>
      <c r="C86" s="6" t="s">
        <v>1531</v>
      </c>
      <c r="D86" s="8" t="s">
        <v>449</v>
      </c>
      <c r="E86" s="8" t="s">
        <v>426</v>
      </c>
      <c r="F86" s="10" t="s">
        <v>1539</v>
      </c>
      <c r="G86" s="10" t="s">
        <v>8</v>
      </c>
      <c r="H86" s="30"/>
      <c r="I86" s="30"/>
      <c r="J86" s="30"/>
      <c r="K86" s="30"/>
    </row>
    <row r="87" spans="1:11" ht="21" customHeight="1" x14ac:dyDescent="0.45">
      <c r="A87" s="29" t="s">
        <v>989</v>
      </c>
      <c r="B87" s="6" t="s">
        <v>1520</v>
      </c>
      <c r="C87" s="6" t="s">
        <v>1532</v>
      </c>
      <c r="D87" s="8" t="s">
        <v>449</v>
      </c>
      <c r="E87" s="8" t="s">
        <v>429</v>
      </c>
      <c r="F87" s="10" t="s">
        <v>1538</v>
      </c>
      <c r="G87" s="10" t="s">
        <v>8</v>
      </c>
      <c r="H87" s="30"/>
      <c r="I87" s="30"/>
      <c r="J87" s="30"/>
      <c r="K87" s="30"/>
    </row>
    <row r="88" spans="1:11" ht="21" customHeight="1" x14ac:dyDescent="0.45">
      <c r="A88" s="29" t="s">
        <v>990</v>
      </c>
      <c r="B88" s="6" t="s">
        <v>1526</v>
      </c>
      <c r="C88" s="6" t="s">
        <v>1530</v>
      </c>
      <c r="D88" s="8" t="s">
        <v>449</v>
      </c>
      <c r="E88" s="8" t="s">
        <v>424</v>
      </c>
      <c r="F88" s="10" t="s">
        <v>1535</v>
      </c>
      <c r="G88" s="10" t="s">
        <v>8</v>
      </c>
      <c r="H88" s="30"/>
      <c r="I88" s="30"/>
      <c r="J88" s="30"/>
      <c r="K88" s="30"/>
    </row>
    <row r="89" spans="1:11" ht="21" customHeight="1" x14ac:dyDescent="0.45">
      <c r="A89" s="29" t="s">
        <v>944</v>
      </c>
      <c r="B89" s="6" t="s">
        <v>1528</v>
      </c>
      <c r="C89" s="6" t="s">
        <v>1534</v>
      </c>
      <c r="D89" s="8" t="s">
        <v>449</v>
      </c>
      <c r="E89" s="8" t="s">
        <v>428</v>
      </c>
      <c r="F89" s="10" t="s">
        <v>1536</v>
      </c>
      <c r="G89" s="10" t="s">
        <v>8</v>
      </c>
      <c r="H89" s="30"/>
      <c r="I89" s="30"/>
      <c r="J89" s="30"/>
      <c r="K89" s="30"/>
    </row>
    <row r="90" spans="1:11" ht="21" customHeight="1" x14ac:dyDescent="0.45">
      <c r="A90" s="29" t="s">
        <v>991</v>
      </c>
      <c r="B90" s="6"/>
      <c r="C90" s="6" t="s">
        <v>1530</v>
      </c>
      <c r="D90" s="8" t="s">
        <v>449</v>
      </c>
      <c r="E90" s="8" t="s">
        <v>424</v>
      </c>
      <c r="F90" s="10" t="s">
        <v>1535</v>
      </c>
      <c r="G90" s="10" t="s">
        <v>8</v>
      </c>
      <c r="H90" s="30"/>
      <c r="I90" s="30"/>
      <c r="J90" s="30"/>
      <c r="K90" s="30"/>
    </row>
    <row r="91" spans="1:11" ht="21" customHeight="1" x14ac:dyDescent="0.45">
      <c r="A91" s="29" t="s">
        <v>992</v>
      </c>
      <c r="B91" s="6" t="s">
        <v>1522</v>
      </c>
      <c r="C91" s="6" t="s">
        <v>1532</v>
      </c>
      <c r="D91" s="8" t="s">
        <v>449</v>
      </c>
      <c r="E91" s="8" t="s">
        <v>430</v>
      </c>
      <c r="F91" s="10" t="s">
        <v>1541</v>
      </c>
      <c r="G91" s="10" t="s">
        <v>8</v>
      </c>
      <c r="H91" s="30"/>
      <c r="I91" s="30"/>
      <c r="J91" s="30"/>
      <c r="K91" s="30"/>
    </row>
    <row r="92" spans="1:11" ht="21" customHeight="1" x14ac:dyDescent="0.45">
      <c r="A92" s="29" t="s">
        <v>976</v>
      </c>
      <c r="B92" s="6" t="s">
        <v>1520</v>
      </c>
      <c r="C92" s="6" t="s">
        <v>1532</v>
      </c>
      <c r="D92" s="8" t="s">
        <v>449</v>
      </c>
      <c r="E92" s="8" t="s">
        <v>429</v>
      </c>
      <c r="F92" s="10" t="s">
        <v>1538</v>
      </c>
      <c r="G92" s="10" t="s">
        <v>8</v>
      </c>
      <c r="H92" s="30"/>
      <c r="I92" s="30"/>
      <c r="J92" s="30"/>
      <c r="K92" s="30"/>
    </row>
    <row r="93" spans="1:11" ht="21" customHeight="1" x14ac:dyDescent="0.45">
      <c r="A93" s="29" t="s">
        <v>993</v>
      </c>
      <c r="B93" s="6" t="s">
        <v>936</v>
      </c>
      <c r="C93" s="6" t="s">
        <v>1531</v>
      </c>
      <c r="D93" s="8" t="s">
        <v>449</v>
      </c>
      <c r="E93" s="8" t="s">
        <v>427</v>
      </c>
      <c r="F93" s="10" t="s">
        <v>1540</v>
      </c>
      <c r="G93" s="10" t="s">
        <v>8</v>
      </c>
      <c r="H93" s="30"/>
      <c r="I93" s="30"/>
      <c r="J93" s="30"/>
      <c r="K93" s="30"/>
    </row>
    <row r="94" spans="1:11" ht="21" customHeight="1" x14ac:dyDescent="0.45">
      <c r="A94" s="29" t="s">
        <v>994</v>
      </c>
      <c r="B94" s="6" t="s">
        <v>1524</v>
      </c>
      <c r="C94" s="6" t="s">
        <v>1533</v>
      </c>
      <c r="D94" s="8" t="s">
        <v>449</v>
      </c>
      <c r="E94" s="8" t="s">
        <v>426</v>
      </c>
      <c r="F94" s="10" t="s">
        <v>1539</v>
      </c>
      <c r="G94" s="10" t="s">
        <v>8</v>
      </c>
      <c r="H94" s="30"/>
      <c r="I94" s="30"/>
      <c r="J94" s="30"/>
      <c r="K94" s="30"/>
    </row>
    <row r="95" spans="1:11" ht="21" customHeight="1" x14ac:dyDescent="0.45">
      <c r="A95" s="29" t="s">
        <v>922</v>
      </c>
      <c r="B95" s="6" t="s">
        <v>1522</v>
      </c>
      <c r="C95" s="6" t="s">
        <v>1532</v>
      </c>
      <c r="D95" s="8" t="s">
        <v>449</v>
      </c>
      <c r="E95" s="8" t="s">
        <v>430</v>
      </c>
      <c r="F95" s="10" t="s">
        <v>1541</v>
      </c>
      <c r="G95" s="10" t="s">
        <v>8</v>
      </c>
      <c r="H95" s="30"/>
      <c r="I95" s="30"/>
      <c r="J95" s="30"/>
      <c r="K95" s="30"/>
    </row>
    <row r="96" spans="1:11" ht="21" customHeight="1" x14ac:dyDescent="0.45">
      <c r="A96" s="29" t="s">
        <v>995</v>
      </c>
      <c r="B96" s="6" t="s">
        <v>1520</v>
      </c>
      <c r="C96" s="6" t="s">
        <v>1532</v>
      </c>
      <c r="D96" s="8" t="s">
        <v>449</v>
      </c>
      <c r="E96" s="8" t="s">
        <v>429</v>
      </c>
      <c r="F96" s="10" t="s">
        <v>1538</v>
      </c>
      <c r="G96" s="10" t="s">
        <v>8</v>
      </c>
      <c r="H96" s="30"/>
      <c r="I96" s="30"/>
      <c r="J96" s="30"/>
      <c r="K96" s="30"/>
    </row>
    <row r="97" spans="1:11" ht="21" customHeight="1" x14ac:dyDescent="0.45">
      <c r="A97" s="29" t="s">
        <v>996</v>
      </c>
      <c r="B97" s="6" t="s">
        <v>1524</v>
      </c>
      <c r="C97" s="6" t="s">
        <v>1533</v>
      </c>
      <c r="D97" s="8" t="s">
        <v>449</v>
      </c>
      <c r="E97" s="8" t="s">
        <v>426</v>
      </c>
      <c r="F97" s="10" t="s">
        <v>1539</v>
      </c>
      <c r="G97" s="10" t="s">
        <v>8</v>
      </c>
      <c r="H97" s="30"/>
      <c r="I97" s="30"/>
      <c r="J97" s="30"/>
      <c r="K97" s="30"/>
    </row>
    <row r="98" spans="1:11" ht="21" customHeight="1" x14ac:dyDescent="0.45">
      <c r="A98" s="29" t="s">
        <v>997</v>
      </c>
      <c r="B98" s="6" t="s">
        <v>1526</v>
      </c>
      <c r="C98" s="6" t="s">
        <v>1530</v>
      </c>
      <c r="D98" s="8" t="s">
        <v>449</v>
      </c>
      <c r="E98" s="8" t="s">
        <v>424</v>
      </c>
      <c r="F98" s="10" t="s">
        <v>1535</v>
      </c>
      <c r="G98" s="10" t="s">
        <v>8</v>
      </c>
      <c r="H98" s="30"/>
      <c r="I98" s="30"/>
      <c r="J98" s="30"/>
      <c r="K98" s="30"/>
    </row>
    <row r="99" spans="1:11" ht="21" customHeight="1" x14ac:dyDescent="0.45">
      <c r="A99" s="29" t="s">
        <v>998</v>
      </c>
      <c r="B99" s="6" t="s">
        <v>1526</v>
      </c>
      <c r="C99" s="6" t="s">
        <v>1530</v>
      </c>
      <c r="D99" s="8" t="s">
        <v>449</v>
      </c>
      <c r="E99" s="8" t="s">
        <v>424</v>
      </c>
      <c r="F99" s="10" t="s">
        <v>1535</v>
      </c>
      <c r="G99" s="10" t="s">
        <v>8</v>
      </c>
      <c r="H99" s="30"/>
      <c r="I99" s="30"/>
      <c r="J99" s="30"/>
      <c r="K99" s="30"/>
    </row>
    <row r="100" spans="1:11" ht="21" customHeight="1" x14ac:dyDescent="0.45">
      <c r="A100" s="29" t="s">
        <v>999</v>
      </c>
      <c r="B100" s="6" t="s">
        <v>1524</v>
      </c>
      <c r="C100" s="6" t="s">
        <v>1533</v>
      </c>
      <c r="D100" s="8" t="s">
        <v>449</v>
      </c>
      <c r="E100" s="8" t="s">
        <v>426</v>
      </c>
      <c r="F100" s="10" t="s">
        <v>1539</v>
      </c>
      <c r="G100" s="10" t="s">
        <v>8</v>
      </c>
      <c r="H100" s="30"/>
      <c r="I100" s="30"/>
      <c r="J100" s="30"/>
      <c r="K100" s="30"/>
    </row>
    <row r="101" spans="1:11" ht="21" customHeight="1" x14ac:dyDescent="0.45">
      <c r="A101" s="29" t="s">
        <v>1000</v>
      </c>
      <c r="B101" s="6" t="s">
        <v>1528</v>
      </c>
      <c r="C101" s="6" t="s">
        <v>1534</v>
      </c>
      <c r="D101" s="8" t="s">
        <v>449</v>
      </c>
      <c r="E101" s="8" t="s">
        <v>426</v>
      </c>
      <c r="F101" s="10" t="s">
        <v>1539</v>
      </c>
      <c r="G101" s="10" t="s">
        <v>8</v>
      </c>
      <c r="H101" s="30"/>
      <c r="I101" s="30"/>
      <c r="J101" s="30"/>
      <c r="K101" s="30"/>
    </row>
    <row r="102" spans="1:11" ht="21" customHeight="1" x14ac:dyDescent="0.45">
      <c r="A102" s="29" t="s">
        <v>1001</v>
      </c>
      <c r="B102" s="6" t="s">
        <v>1518</v>
      </c>
      <c r="C102" s="6" t="s">
        <v>1530</v>
      </c>
      <c r="D102" s="8" t="s">
        <v>449</v>
      </c>
      <c r="E102" s="8" t="s">
        <v>424</v>
      </c>
      <c r="F102" s="10" t="s">
        <v>1535</v>
      </c>
      <c r="G102" s="10" t="s">
        <v>8</v>
      </c>
      <c r="H102" s="30"/>
      <c r="I102" s="30"/>
      <c r="J102" s="30"/>
      <c r="K102" s="30"/>
    </row>
    <row r="103" spans="1:11" ht="21" customHeight="1" x14ac:dyDescent="0.45">
      <c r="A103" s="29" t="s">
        <v>976</v>
      </c>
      <c r="B103" s="6" t="s">
        <v>1520</v>
      </c>
      <c r="C103" s="6" t="s">
        <v>1532</v>
      </c>
      <c r="D103" s="8" t="s">
        <v>449</v>
      </c>
      <c r="E103" s="8" t="s">
        <v>429</v>
      </c>
      <c r="F103" s="10" t="s">
        <v>1538</v>
      </c>
      <c r="G103" s="10" t="s">
        <v>8</v>
      </c>
      <c r="H103" s="30"/>
      <c r="I103" s="30"/>
      <c r="J103" s="30"/>
      <c r="K103" s="30"/>
    </row>
    <row r="104" spans="1:11" ht="21" customHeight="1" x14ac:dyDescent="0.45">
      <c r="A104" s="29" t="s">
        <v>1002</v>
      </c>
      <c r="B104" s="6" t="s">
        <v>936</v>
      </c>
      <c r="C104" s="6" t="s">
        <v>1531</v>
      </c>
      <c r="D104" s="8" t="s">
        <v>449</v>
      </c>
      <c r="E104" s="8" t="s">
        <v>427</v>
      </c>
      <c r="F104" s="10" t="s">
        <v>1540</v>
      </c>
      <c r="G104" s="10" t="s">
        <v>8</v>
      </c>
      <c r="H104" s="30"/>
      <c r="I104" s="30"/>
      <c r="J104" s="30"/>
      <c r="K104" s="30"/>
    </row>
    <row r="105" spans="1:11" ht="21" customHeight="1" x14ac:dyDescent="0.45">
      <c r="A105" s="29" t="s">
        <v>1003</v>
      </c>
      <c r="B105" s="6" t="s">
        <v>1518</v>
      </c>
      <c r="C105" s="6" t="s">
        <v>1530</v>
      </c>
      <c r="D105" s="8" t="s">
        <v>449</v>
      </c>
      <c r="E105" s="8" t="s">
        <v>424</v>
      </c>
      <c r="F105" s="10" t="s">
        <v>1535</v>
      </c>
      <c r="G105" s="10" t="s">
        <v>8</v>
      </c>
      <c r="H105" s="30"/>
      <c r="I105" s="30"/>
      <c r="J105" s="30"/>
      <c r="K105" s="30"/>
    </row>
    <row r="106" spans="1:11" ht="21" customHeight="1" x14ac:dyDescent="0.45">
      <c r="A106" s="29" t="s">
        <v>1004</v>
      </c>
      <c r="B106" s="6" t="s">
        <v>1519</v>
      </c>
      <c r="C106" s="6" t="s">
        <v>1531</v>
      </c>
      <c r="D106" s="8" t="s">
        <v>449</v>
      </c>
      <c r="E106" s="8" t="s">
        <v>425</v>
      </c>
      <c r="F106" s="10" t="s">
        <v>1537</v>
      </c>
      <c r="G106" s="10" t="s">
        <v>8</v>
      </c>
      <c r="H106" s="30"/>
      <c r="I106" s="30"/>
      <c r="J106" s="30"/>
      <c r="K106" s="30"/>
    </row>
    <row r="107" spans="1:11" ht="21" customHeight="1" x14ac:dyDescent="0.45">
      <c r="A107" s="29" t="s">
        <v>1005</v>
      </c>
      <c r="B107" s="6" t="s">
        <v>936</v>
      </c>
      <c r="C107" s="6" t="s">
        <v>1531</v>
      </c>
      <c r="D107" s="8" t="s">
        <v>449</v>
      </c>
      <c r="E107" s="8" t="s">
        <v>427</v>
      </c>
      <c r="F107" s="10" t="s">
        <v>1540</v>
      </c>
      <c r="G107" s="10" t="s">
        <v>8</v>
      </c>
      <c r="H107" s="30"/>
      <c r="I107" s="30"/>
      <c r="J107" s="30"/>
      <c r="K107" s="30"/>
    </row>
    <row r="108" spans="1:11" ht="21" customHeight="1" x14ac:dyDescent="0.45">
      <c r="A108" s="29" t="s">
        <v>1006</v>
      </c>
      <c r="B108" s="6" t="s">
        <v>1522</v>
      </c>
      <c r="C108" s="6" t="s">
        <v>1532</v>
      </c>
      <c r="D108" s="8" t="s">
        <v>449</v>
      </c>
      <c r="E108" s="8" t="s">
        <v>430</v>
      </c>
      <c r="F108" s="10" t="s">
        <v>1541</v>
      </c>
      <c r="G108" s="10" t="s">
        <v>8</v>
      </c>
      <c r="H108" s="30"/>
      <c r="I108" s="30"/>
      <c r="J108" s="30"/>
      <c r="K108" s="30"/>
    </row>
    <row r="109" spans="1:11" ht="21" customHeight="1" x14ac:dyDescent="0.45">
      <c r="A109" s="29" t="s">
        <v>1007</v>
      </c>
      <c r="B109" s="6" t="s">
        <v>1522</v>
      </c>
      <c r="C109" s="6" t="s">
        <v>1532</v>
      </c>
      <c r="D109" s="8" t="s">
        <v>449</v>
      </c>
      <c r="E109" s="8" t="s">
        <v>430</v>
      </c>
      <c r="F109" s="10" t="s">
        <v>1541</v>
      </c>
      <c r="G109" s="10" t="s">
        <v>8</v>
      </c>
      <c r="H109" s="30"/>
      <c r="I109" s="30"/>
      <c r="J109" s="30"/>
      <c r="K109" s="30"/>
    </row>
  </sheetData>
  <mergeCells count="3">
    <mergeCell ref="B2:C2"/>
    <mergeCell ref="D2:E2"/>
    <mergeCell ref="I14:J14"/>
  </mergeCells>
  <phoneticPr fontId="16" type="noConversion"/>
  <pageMargins left="0.7" right="0.7" top="0.78740157499999996" bottom="0.78740157499999996" header="0.3" footer="0.3"/>
  <tableParts count="4">
    <tablePart r:id="rId1"/>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E85A-6BC8-4E2F-B3F4-4ADA36CEE1C8}">
  <dimension ref="A1:K83"/>
  <sheetViews>
    <sheetView zoomScale="70" zoomScaleNormal="70" workbookViewId="0">
      <selection activeCell="A4" sqref="A4"/>
    </sheetView>
  </sheetViews>
  <sheetFormatPr baseColWidth="10" defaultRowHeight="14.25" x14ac:dyDescent="0.45"/>
  <cols>
    <col min="1" max="1" width="43.46484375" customWidth="1"/>
    <col min="2" max="2" width="25.265625" customWidth="1"/>
    <col min="3" max="3" width="30.796875" customWidth="1"/>
    <col min="4" max="4" width="20.53125" customWidth="1"/>
    <col min="5" max="5" width="27.59765625" customWidth="1"/>
    <col min="6" max="6" width="42" customWidth="1"/>
    <col min="7" max="7" width="20.53125" customWidth="1"/>
    <col min="9" max="9" width="14.06640625" customWidth="1"/>
    <col min="10" max="10" width="41.33203125" customWidth="1"/>
  </cols>
  <sheetData>
    <row r="1" spans="1:11" ht="54" customHeight="1" x14ac:dyDescent="0.45">
      <c r="A1" s="37" t="s">
        <v>122</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1008</v>
      </c>
      <c r="B4" s="6" t="s">
        <v>1508</v>
      </c>
      <c r="C4" s="6" t="s">
        <v>1508</v>
      </c>
      <c r="D4" s="8" t="s">
        <v>449</v>
      </c>
      <c r="E4" s="8" t="s">
        <v>431</v>
      </c>
      <c r="F4" s="10" t="s">
        <v>1508</v>
      </c>
      <c r="G4" s="10" t="s">
        <v>8</v>
      </c>
      <c r="H4" s="30"/>
      <c r="I4" s="43">
        <f>COUNTIF(Tabelle12265397112116120129137141149[[#All],[Merged Theme]],Tabelle10951259109113117126134138146[[#This Row],[Merged Theme]])</f>
        <v>21</v>
      </c>
      <c r="J4" s="16" t="s">
        <v>1517</v>
      </c>
      <c r="K4" s="9"/>
    </row>
    <row r="5" spans="1:11" s="47" customFormat="1" ht="21" customHeight="1" x14ac:dyDescent="0.45">
      <c r="A5" s="29" t="s">
        <v>1009</v>
      </c>
      <c r="B5" s="6" t="s">
        <v>1509</v>
      </c>
      <c r="C5" s="6" t="s">
        <v>1509</v>
      </c>
      <c r="D5" s="8" t="s">
        <v>449</v>
      </c>
      <c r="E5" s="42" t="s">
        <v>433</v>
      </c>
      <c r="F5" s="43" t="s">
        <v>1509</v>
      </c>
      <c r="G5" s="10" t="s">
        <v>8</v>
      </c>
      <c r="H5" s="44"/>
      <c r="I5" s="43">
        <f>COUNTIF(Tabelle12265397112116120129137141149[[#All],[Merged Theme]],Tabelle10951259109113117126134138146[[#This Row],[Merged Theme]])</f>
        <v>17</v>
      </c>
      <c r="J5" s="16" t="s">
        <v>1508</v>
      </c>
      <c r="K5" s="46"/>
    </row>
    <row r="6" spans="1:11" ht="21" customHeight="1" x14ac:dyDescent="0.45">
      <c r="A6" s="29" t="s">
        <v>1010</v>
      </c>
      <c r="B6" s="6" t="s">
        <v>1510</v>
      </c>
      <c r="C6" s="6" t="s">
        <v>1516</v>
      </c>
      <c r="D6" s="8" t="s">
        <v>449</v>
      </c>
      <c r="E6" s="8" t="s">
        <v>431</v>
      </c>
      <c r="F6" s="10" t="s">
        <v>1516</v>
      </c>
      <c r="G6" s="10" t="s">
        <v>8</v>
      </c>
      <c r="H6" s="30"/>
      <c r="I6" s="43">
        <f>COUNTIF(Tabelle12265397112116120129137141149[[#All],[Merged Theme]],Tabelle10951259109113117126134138146[[#This Row],[Merged Theme]])</f>
        <v>10</v>
      </c>
      <c r="J6" s="16" t="s">
        <v>1516</v>
      </c>
      <c r="K6" s="9"/>
    </row>
    <row r="7" spans="1:11" ht="21" customHeight="1" x14ac:dyDescent="0.45">
      <c r="A7" s="29" t="s">
        <v>1011</v>
      </c>
      <c r="B7" s="6" t="s">
        <v>1508</v>
      </c>
      <c r="C7" s="6" t="s">
        <v>1508</v>
      </c>
      <c r="D7" s="8" t="s">
        <v>449</v>
      </c>
      <c r="E7" s="8" t="s">
        <v>431</v>
      </c>
      <c r="F7" s="10" t="s">
        <v>1508</v>
      </c>
      <c r="G7" s="10" t="s">
        <v>8</v>
      </c>
      <c r="H7" s="30"/>
      <c r="I7" s="43">
        <f>COUNTIF(Tabelle12265397112116120129137141149[[#All],[Merged Theme]],Tabelle10951259109113117126134138146[[#This Row],[Merged Theme]])</f>
        <v>9</v>
      </c>
      <c r="J7" s="16" t="s">
        <v>1509</v>
      </c>
      <c r="K7" s="9"/>
    </row>
    <row r="8" spans="1:11" ht="21" customHeight="1" x14ac:dyDescent="0.45">
      <c r="A8" s="29" t="s">
        <v>1012</v>
      </c>
      <c r="B8" s="6" t="s">
        <v>1511</v>
      </c>
      <c r="C8" s="6" t="s">
        <v>1516</v>
      </c>
      <c r="D8" s="8" t="s">
        <v>449</v>
      </c>
      <c r="E8" s="8" t="s">
        <v>432</v>
      </c>
      <c r="F8" s="10" t="s">
        <v>1516</v>
      </c>
      <c r="G8" s="10" t="s">
        <v>8</v>
      </c>
      <c r="H8" s="30"/>
      <c r="I8" s="10">
        <f>COUNTIF(Tabelle12265397112116120129137141149[[#All],[Merged Theme]],Tabelle10951259109113117126134138146[[#This Row],[Merged Theme]])</f>
        <v>7</v>
      </c>
      <c r="J8" s="16" t="s">
        <v>1513</v>
      </c>
      <c r="K8" s="9"/>
    </row>
    <row r="9" spans="1:11" ht="21" customHeight="1" x14ac:dyDescent="0.45">
      <c r="A9" s="29" t="s">
        <v>1013</v>
      </c>
      <c r="B9" s="6" t="s">
        <v>1512</v>
      </c>
      <c r="C9" s="6" t="s">
        <v>1517</v>
      </c>
      <c r="D9" s="8" t="s">
        <v>449</v>
      </c>
      <c r="E9" s="8" t="s">
        <v>434</v>
      </c>
      <c r="F9" s="10" t="s">
        <v>1517</v>
      </c>
      <c r="G9" s="10" t="s">
        <v>8</v>
      </c>
      <c r="H9" s="30"/>
      <c r="I9" s="17">
        <f>SUM(Tabelle10951259109113117126134138146[Mentions])</f>
        <v>64</v>
      </c>
      <c r="J9" s="18"/>
      <c r="K9" s="33"/>
    </row>
    <row r="10" spans="1:11" ht="21" customHeight="1" x14ac:dyDescent="0.45">
      <c r="A10" s="29" t="s">
        <v>1014</v>
      </c>
      <c r="B10" s="6" t="s">
        <v>1508</v>
      </c>
      <c r="C10" s="6" t="s">
        <v>1508</v>
      </c>
      <c r="D10" s="8" t="s">
        <v>449</v>
      </c>
      <c r="E10" s="8" t="s">
        <v>431</v>
      </c>
      <c r="F10" s="10" t="s">
        <v>1508</v>
      </c>
      <c r="G10" s="10" t="s">
        <v>471</v>
      </c>
      <c r="H10" s="30"/>
      <c r="I10" s="30"/>
      <c r="J10" s="30"/>
      <c r="K10" s="9"/>
    </row>
    <row r="11" spans="1:11" ht="21" customHeight="1" x14ac:dyDescent="0.45">
      <c r="A11" s="29" t="s">
        <v>1015</v>
      </c>
      <c r="B11" s="6" t="s">
        <v>1511</v>
      </c>
      <c r="C11" s="6" t="s">
        <v>1516</v>
      </c>
      <c r="D11" s="8" t="s">
        <v>449</v>
      </c>
      <c r="E11" s="8" t="s">
        <v>432</v>
      </c>
      <c r="F11" s="10" t="s">
        <v>1516</v>
      </c>
      <c r="G11" s="10" t="s">
        <v>8</v>
      </c>
      <c r="H11" s="30"/>
      <c r="I11" s="30"/>
      <c r="J11" s="30"/>
      <c r="K11" s="9"/>
    </row>
    <row r="12" spans="1:11" ht="21" customHeight="1" x14ac:dyDescent="0.65">
      <c r="A12" s="29" t="s">
        <v>1016</v>
      </c>
      <c r="B12" s="6" t="s">
        <v>922</v>
      </c>
      <c r="C12" s="6" t="s">
        <v>1517</v>
      </c>
      <c r="D12" s="8" t="s">
        <v>449</v>
      </c>
      <c r="E12" s="8" t="s">
        <v>434</v>
      </c>
      <c r="F12" s="10" t="s">
        <v>1517</v>
      </c>
      <c r="G12" s="10" t="s">
        <v>8</v>
      </c>
      <c r="H12" s="30"/>
      <c r="I12" s="63" t="s">
        <v>451</v>
      </c>
      <c r="J12" s="63"/>
      <c r="K12" s="31"/>
    </row>
    <row r="13" spans="1:11" ht="21" customHeight="1" x14ac:dyDescent="0.55000000000000004">
      <c r="A13" s="29" t="s">
        <v>1017</v>
      </c>
      <c r="B13" s="6" t="s">
        <v>922</v>
      </c>
      <c r="C13" s="41" t="s">
        <v>1517</v>
      </c>
      <c r="D13" s="8" t="s">
        <v>449</v>
      </c>
      <c r="E13" s="8" t="s">
        <v>434</v>
      </c>
      <c r="F13" s="10" t="s">
        <v>1517</v>
      </c>
      <c r="G13" s="10" t="s">
        <v>470</v>
      </c>
      <c r="H13" s="30"/>
      <c r="I13" s="23" t="s">
        <v>5</v>
      </c>
      <c r="J13" s="22" t="s">
        <v>3</v>
      </c>
      <c r="K13" s="34"/>
    </row>
    <row r="14" spans="1:11" ht="21" customHeight="1" x14ac:dyDescent="0.45">
      <c r="A14" s="29" t="s">
        <v>1018</v>
      </c>
      <c r="B14" s="6" t="s">
        <v>1513</v>
      </c>
      <c r="C14" s="6" t="s">
        <v>1513</v>
      </c>
      <c r="D14" s="8" t="s">
        <v>449</v>
      </c>
      <c r="E14" s="8" t="s">
        <v>433</v>
      </c>
      <c r="F14" s="10" t="s">
        <v>1513</v>
      </c>
      <c r="G14" s="10" t="s">
        <v>8</v>
      </c>
      <c r="H14" s="30"/>
      <c r="I14" s="6">
        <f>COUNTIF(Tabelle12265397112116120129137141149[A - Theme],Tabelle10911152394110114118127135139147[[#This Row],[Theme]])</f>
        <v>21</v>
      </c>
      <c r="J14" s="38" t="s">
        <v>1517</v>
      </c>
      <c r="K14" s="35"/>
    </row>
    <row r="15" spans="1:11" ht="21" customHeight="1" x14ac:dyDescent="0.45">
      <c r="A15" s="29" t="s">
        <v>1019</v>
      </c>
      <c r="B15" s="6" t="s">
        <v>1512</v>
      </c>
      <c r="C15" s="6" t="s">
        <v>1517</v>
      </c>
      <c r="D15" s="8" t="s">
        <v>449</v>
      </c>
      <c r="E15" s="8" t="s">
        <v>434</v>
      </c>
      <c r="F15" s="10" t="s">
        <v>1517</v>
      </c>
      <c r="G15" s="10" t="s">
        <v>8</v>
      </c>
      <c r="H15" s="30"/>
      <c r="I15" s="6">
        <f>COUNTIF(Tabelle12265397112116120129137141149[A - Theme],Tabelle10911152394110114118127135139147[[#This Row],[Theme]])</f>
        <v>17</v>
      </c>
      <c r="J15" s="38" t="s">
        <v>1508</v>
      </c>
      <c r="K15" s="35"/>
    </row>
    <row r="16" spans="1:11" ht="21" customHeight="1" x14ac:dyDescent="0.45">
      <c r="A16" s="29" t="s">
        <v>1020</v>
      </c>
      <c r="B16" s="6" t="s">
        <v>1508</v>
      </c>
      <c r="C16" s="6" t="s">
        <v>1508</v>
      </c>
      <c r="D16" s="8" t="s">
        <v>449</v>
      </c>
      <c r="E16" s="8" t="s">
        <v>431</v>
      </c>
      <c r="F16" s="10" t="s">
        <v>1508</v>
      </c>
      <c r="G16" s="10" t="s">
        <v>8</v>
      </c>
      <c r="H16" s="30"/>
      <c r="I16" s="6">
        <f>COUNTIF(Tabelle12265397112116120129137141149[A - Theme],Tabelle10911152394110114118127135139147[[#This Row],[Theme]])</f>
        <v>10</v>
      </c>
      <c r="J16" s="38" t="s">
        <v>1516</v>
      </c>
      <c r="K16" s="35"/>
    </row>
    <row r="17" spans="1:11" ht="21" customHeight="1" x14ac:dyDescent="0.45">
      <c r="A17" s="29" t="s">
        <v>922</v>
      </c>
      <c r="B17" s="6" t="s">
        <v>922</v>
      </c>
      <c r="C17" s="6" t="s">
        <v>1517</v>
      </c>
      <c r="D17" s="8" t="s">
        <v>449</v>
      </c>
      <c r="E17" s="8" t="s">
        <v>434</v>
      </c>
      <c r="F17" s="10" t="s">
        <v>1517</v>
      </c>
      <c r="G17" s="10" t="s">
        <v>8</v>
      </c>
      <c r="H17" s="30"/>
      <c r="I17" s="6">
        <f>COUNTIF(Tabelle12265397112116120129137141149[A - Theme],Tabelle10911152394110114118127135139147[[#This Row],[Theme]])</f>
        <v>9</v>
      </c>
      <c r="J17" s="38" t="s">
        <v>1509</v>
      </c>
      <c r="K17" s="35"/>
    </row>
    <row r="18" spans="1:11" ht="21" customHeight="1" x14ac:dyDescent="0.45">
      <c r="A18" s="29" t="s">
        <v>922</v>
      </c>
      <c r="B18" s="6" t="s">
        <v>922</v>
      </c>
      <c r="C18" s="6" t="s">
        <v>1517</v>
      </c>
      <c r="D18" s="8" t="s">
        <v>449</v>
      </c>
      <c r="E18" s="8" t="s">
        <v>434</v>
      </c>
      <c r="F18" s="10" t="s">
        <v>1517</v>
      </c>
      <c r="G18" s="10" t="s">
        <v>8</v>
      </c>
      <c r="H18" s="30"/>
      <c r="I18" s="6">
        <f>COUNTIF(Tabelle12265397112116120129137141149[A - Theme],Tabelle10911152394110114118127135139147[[#This Row],[Theme]])</f>
        <v>7</v>
      </c>
      <c r="J18" s="38" t="s">
        <v>1513</v>
      </c>
      <c r="K18" s="35"/>
    </row>
    <row r="19" spans="1:11" ht="21" customHeight="1" x14ac:dyDescent="0.45">
      <c r="A19" s="29" t="s">
        <v>1021</v>
      </c>
      <c r="B19" s="6" t="s">
        <v>1512</v>
      </c>
      <c r="C19" s="6" t="s">
        <v>1517</v>
      </c>
      <c r="D19" s="8" t="s">
        <v>449</v>
      </c>
      <c r="E19" s="8" t="s">
        <v>434</v>
      </c>
      <c r="F19" s="10" t="s">
        <v>1517</v>
      </c>
      <c r="G19" s="10" t="s">
        <v>8</v>
      </c>
      <c r="H19" s="30"/>
      <c r="I19" s="20">
        <f>SUM(Tabelle10911152394110114118127135139147[Mentions])</f>
        <v>64</v>
      </c>
      <c r="J19" s="21"/>
      <c r="K19" s="35"/>
    </row>
    <row r="20" spans="1:11" ht="21" customHeight="1" x14ac:dyDescent="0.45">
      <c r="A20" s="29" t="s">
        <v>1022</v>
      </c>
      <c r="B20" s="6" t="s">
        <v>1512</v>
      </c>
      <c r="C20" s="6" t="s">
        <v>1517</v>
      </c>
      <c r="D20" s="8" t="s">
        <v>449</v>
      </c>
      <c r="E20" s="8" t="s">
        <v>434</v>
      </c>
      <c r="F20" s="10" t="s">
        <v>1517</v>
      </c>
      <c r="G20" s="10" t="s">
        <v>8</v>
      </c>
      <c r="H20" s="30"/>
      <c r="I20" s="30"/>
      <c r="J20" s="30"/>
      <c r="K20" s="35"/>
    </row>
    <row r="21" spans="1:11" ht="21" customHeight="1" x14ac:dyDescent="0.45">
      <c r="A21" s="29" t="s">
        <v>1023</v>
      </c>
      <c r="B21" s="6" t="s">
        <v>922</v>
      </c>
      <c r="C21" s="6" t="s">
        <v>1517</v>
      </c>
      <c r="D21" s="8" t="s">
        <v>449</v>
      </c>
      <c r="E21" s="8" t="s">
        <v>434</v>
      </c>
      <c r="F21" s="10" t="s">
        <v>1517</v>
      </c>
      <c r="G21" s="10" t="s">
        <v>8</v>
      </c>
      <c r="H21" s="30"/>
      <c r="I21" s="30"/>
      <c r="J21" s="30"/>
      <c r="K21" s="35"/>
    </row>
    <row r="22" spans="1:11" ht="21" customHeight="1" x14ac:dyDescent="0.65">
      <c r="A22" s="29" t="s">
        <v>1024</v>
      </c>
      <c r="B22" s="6" t="s">
        <v>1508</v>
      </c>
      <c r="C22" s="6" t="s">
        <v>1508</v>
      </c>
      <c r="D22" s="8" t="s">
        <v>449</v>
      </c>
      <c r="E22" s="8" t="s">
        <v>431</v>
      </c>
      <c r="F22" s="10" t="s">
        <v>1508</v>
      </c>
      <c r="G22" s="10" t="s">
        <v>8</v>
      </c>
      <c r="H22" s="30"/>
      <c r="I22" s="36" t="s">
        <v>452</v>
      </c>
      <c r="J22" s="36"/>
      <c r="K22" s="35"/>
    </row>
    <row r="23" spans="1:11" ht="21" customHeight="1" x14ac:dyDescent="0.55000000000000004">
      <c r="A23" s="29" t="s">
        <v>1025</v>
      </c>
      <c r="B23" s="6" t="s">
        <v>1511</v>
      </c>
      <c r="C23" s="6" t="s">
        <v>1516</v>
      </c>
      <c r="D23" s="8" t="s">
        <v>449</v>
      </c>
      <c r="E23" s="8" t="s">
        <v>432</v>
      </c>
      <c r="F23" s="10" t="s">
        <v>1516</v>
      </c>
      <c r="G23" s="10" t="s">
        <v>8</v>
      </c>
      <c r="H23" s="30"/>
      <c r="I23" s="19" t="s">
        <v>5</v>
      </c>
      <c r="J23" s="19" t="s">
        <v>3</v>
      </c>
      <c r="K23" s="35"/>
    </row>
    <row r="24" spans="1:11" ht="21" customHeight="1" x14ac:dyDescent="0.45">
      <c r="A24" s="29" t="s">
        <v>922</v>
      </c>
      <c r="B24" s="6" t="s">
        <v>922</v>
      </c>
      <c r="C24" s="6" t="s">
        <v>1517</v>
      </c>
      <c r="D24" s="8" t="s">
        <v>449</v>
      </c>
      <c r="E24" s="8" t="s">
        <v>434</v>
      </c>
      <c r="F24" s="10" t="s">
        <v>1517</v>
      </c>
      <c r="G24" s="10" t="s">
        <v>8</v>
      </c>
      <c r="H24" s="30"/>
      <c r="I24" s="8">
        <f>COUNTIF(Tabelle12265397112116120129137141149[B - Theme],Tabelle10911111258796111115119128136140148[[#This Row],[Theme]])</f>
        <v>22</v>
      </c>
      <c r="J24" s="26" t="s">
        <v>434</v>
      </c>
      <c r="K24" s="33"/>
    </row>
    <row r="25" spans="1:11" ht="21" customHeight="1" x14ac:dyDescent="0.45">
      <c r="A25" s="29" t="s">
        <v>1026</v>
      </c>
      <c r="B25" s="6" t="s">
        <v>1509</v>
      </c>
      <c r="C25" s="6" t="s">
        <v>1509</v>
      </c>
      <c r="D25" s="8" t="s">
        <v>449</v>
      </c>
      <c r="E25" s="8" t="s">
        <v>434</v>
      </c>
      <c r="F25" s="10" t="s">
        <v>1509</v>
      </c>
      <c r="G25" s="10" t="s">
        <v>8</v>
      </c>
      <c r="H25" s="30"/>
      <c r="I25" s="8">
        <f>COUNTIF(Tabelle12265397112116120129137141149[B - Theme],Tabelle10911111258796111115119128136140148[[#This Row],[Theme]])</f>
        <v>18</v>
      </c>
      <c r="J25" s="26" t="s">
        <v>431</v>
      </c>
      <c r="K25" s="30"/>
    </row>
    <row r="26" spans="1:11" ht="21" customHeight="1" x14ac:dyDescent="0.45">
      <c r="A26" s="29" t="s">
        <v>1027</v>
      </c>
      <c r="B26" s="6" t="s">
        <v>1508</v>
      </c>
      <c r="C26" s="6" t="s">
        <v>1508</v>
      </c>
      <c r="D26" s="8" t="s">
        <v>449</v>
      </c>
      <c r="E26" s="8" t="s">
        <v>431</v>
      </c>
      <c r="F26" s="10" t="s">
        <v>1508</v>
      </c>
      <c r="G26" s="10" t="s">
        <v>8</v>
      </c>
      <c r="H26" s="30"/>
      <c r="I26" s="8">
        <f>COUNTIF(Tabelle12265397112116120129137141149[B - Theme],Tabelle10911111258796111115119128136140148[[#This Row],[Theme]])</f>
        <v>16</v>
      </c>
      <c r="J26" s="26" t="s">
        <v>433</v>
      </c>
      <c r="K26" s="30"/>
    </row>
    <row r="27" spans="1:11" ht="21" customHeight="1" x14ac:dyDescent="0.45">
      <c r="A27" s="29" t="s">
        <v>1028</v>
      </c>
      <c r="B27" s="6" t="s">
        <v>1508</v>
      </c>
      <c r="C27" s="6" t="s">
        <v>1508</v>
      </c>
      <c r="D27" s="8" t="s">
        <v>449</v>
      </c>
      <c r="E27" s="8" t="s">
        <v>432</v>
      </c>
      <c r="F27" s="10" t="s">
        <v>1508</v>
      </c>
      <c r="G27" s="10" t="s">
        <v>8</v>
      </c>
      <c r="H27" s="30"/>
      <c r="I27" s="8">
        <f>COUNTIF(Tabelle12265397112116120129137141149[B - Theme],Tabelle10911111258796111115119128136140148[[#This Row],[Theme]])</f>
        <v>8</v>
      </c>
      <c r="J27" s="26" t="s">
        <v>432</v>
      </c>
      <c r="K27" s="30"/>
    </row>
    <row r="28" spans="1:11" ht="21" customHeight="1" x14ac:dyDescent="0.45">
      <c r="A28" s="29" t="s">
        <v>1029</v>
      </c>
      <c r="B28" s="6" t="s">
        <v>1509</v>
      </c>
      <c r="C28" s="6" t="s">
        <v>1509</v>
      </c>
      <c r="D28" s="8" t="s">
        <v>449</v>
      </c>
      <c r="E28" s="8" t="s">
        <v>433</v>
      </c>
      <c r="F28" s="10" t="s">
        <v>1509</v>
      </c>
      <c r="G28" s="10" t="s">
        <v>8</v>
      </c>
      <c r="H28" s="30"/>
      <c r="I28" s="24">
        <f>SUM(Tabelle10911111258796111115119128136140148[Mentions])</f>
        <v>64</v>
      </c>
      <c r="J28" s="25"/>
      <c r="K28" s="30"/>
    </row>
    <row r="29" spans="1:11" ht="21" customHeight="1" x14ac:dyDescent="0.45">
      <c r="A29" s="29" t="s">
        <v>1030</v>
      </c>
      <c r="B29" s="6" t="s">
        <v>922</v>
      </c>
      <c r="C29" s="6" t="s">
        <v>1517</v>
      </c>
      <c r="D29" s="8" t="s">
        <v>449</v>
      </c>
      <c r="E29" s="8" t="s">
        <v>434</v>
      </c>
      <c r="F29" s="10" t="s">
        <v>1517</v>
      </c>
      <c r="G29" s="10" t="s">
        <v>8</v>
      </c>
      <c r="H29" s="30"/>
      <c r="I29" s="30"/>
      <c r="J29" s="30"/>
      <c r="K29" s="30"/>
    </row>
    <row r="30" spans="1:11" ht="21" customHeight="1" x14ac:dyDescent="0.45">
      <c r="A30" s="29" t="s">
        <v>1031</v>
      </c>
      <c r="B30" s="6" t="s">
        <v>1513</v>
      </c>
      <c r="C30" s="6" t="s">
        <v>1513</v>
      </c>
      <c r="D30" s="8" t="s">
        <v>449</v>
      </c>
      <c r="E30" s="8" t="s">
        <v>433</v>
      </c>
      <c r="F30" s="10" t="s">
        <v>1513</v>
      </c>
      <c r="G30" s="10" t="s">
        <v>8</v>
      </c>
      <c r="H30" s="30"/>
      <c r="I30" s="30"/>
      <c r="J30" s="30"/>
      <c r="K30" s="30"/>
    </row>
    <row r="31" spans="1:11" ht="21" customHeight="1" x14ac:dyDescent="0.45">
      <c r="A31" s="29" t="s">
        <v>1032</v>
      </c>
      <c r="B31" s="6" t="s">
        <v>1508</v>
      </c>
      <c r="C31" s="6" t="s">
        <v>1508</v>
      </c>
      <c r="D31" s="8" t="s">
        <v>449</v>
      </c>
      <c r="E31" s="8" t="s">
        <v>431</v>
      </c>
      <c r="F31" s="10" t="s">
        <v>1508</v>
      </c>
      <c r="G31" s="10" t="s">
        <v>8</v>
      </c>
      <c r="H31" s="30"/>
      <c r="I31" s="30"/>
      <c r="J31" s="30"/>
      <c r="K31" s="30"/>
    </row>
    <row r="32" spans="1:11" ht="21" customHeight="1" x14ac:dyDescent="0.45">
      <c r="A32" s="29" t="s">
        <v>1033</v>
      </c>
      <c r="B32" s="6" t="s">
        <v>1512</v>
      </c>
      <c r="C32" s="6" t="s">
        <v>1517</v>
      </c>
      <c r="D32" s="8" t="s">
        <v>449</v>
      </c>
      <c r="E32" s="8" t="s">
        <v>434</v>
      </c>
      <c r="F32" s="10" t="s">
        <v>1517</v>
      </c>
      <c r="G32" s="10" t="s">
        <v>8</v>
      </c>
      <c r="H32" s="30"/>
      <c r="I32" s="30"/>
      <c r="J32" s="30"/>
      <c r="K32" s="30"/>
    </row>
    <row r="33" spans="1:11" ht="21" customHeight="1" x14ac:dyDescent="0.45">
      <c r="A33" s="29" t="s">
        <v>1034</v>
      </c>
      <c r="B33" s="6" t="s">
        <v>1514</v>
      </c>
      <c r="C33" s="6" t="s">
        <v>1516</v>
      </c>
      <c r="D33" s="8" t="s">
        <v>449</v>
      </c>
      <c r="E33" s="8" t="s">
        <v>432</v>
      </c>
      <c r="F33" s="10" t="s">
        <v>1516</v>
      </c>
      <c r="G33" s="10" t="s">
        <v>8</v>
      </c>
      <c r="H33" s="30"/>
      <c r="I33" s="30"/>
      <c r="J33" s="30"/>
      <c r="K33" s="30"/>
    </row>
    <row r="34" spans="1:11" ht="21" customHeight="1" x14ac:dyDescent="0.45">
      <c r="A34" s="29" t="s">
        <v>1035</v>
      </c>
      <c r="B34" s="6" t="s">
        <v>1514</v>
      </c>
      <c r="C34" s="6" t="s">
        <v>1516</v>
      </c>
      <c r="D34" s="8" t="s">
        <v>449</v>
      </c>
      <c r="E34" s="8" t="s">
        <v>432</v>
      </c>
      <c r="F34" s="10" t="s">
        <v>1516</v>
      </c>
      <c r="G34" s="10" t="s">
        <v>8</v>
      </c>
      <c r="H34" s="30"/>
      <c r="I34" s="30"/>
      <c r="J34" s="30"/>
      <c r="K34" s="30"/>
    </row>
    <row r="35" spans="1:11" ht="21" customHeight="1" x14ac:dyDescent="0.45">
      <c r="A35" s="29" t="s">
        <v>1036</v>
      </c>
      <c r="B35" s="6" t="s">
        <v>922</v>
      </c>
      <c r="C35" s="6" t="s">
        <v>1517</v>
      </c>
      <c r="D35" s="8" t="s">
        <v>449</v>
      </c>
      <c r="E35" s="8" t="s">
        <v>434</v>
      </c>
      <c r="F35" s="10" t="s">
        <v>1517</v>
      </c>
      <c r="G35" s="10" t="s">
        <v>8</v>
      </c>
      <c r="H35" s="30"/>
      <c r="I35" s="30"/>
      <c r="J35" s="30"/>
      <c r="K35" s="30"/>
    </row>
    <row r="36" spans="1:11" ht="21" customHeight="1" x14ac:dyDescent="0.45">
      <c r="A36" s="29" t="s">
        <v>1037</v>
      </c>
      <c r="B36" s="6" t="s">
        <v>1510</v>
      </c>
      <c r="C36" s="6" t="s">
        <v>1516</v>
      </c>
      <c r="D36" s="8" t="s">
        <v>449</v>
      </c>
      <c r="E36" s="8" t="s">
        <v>431</v>
      </c>
      <c r="F36" s="10" t="s">
        <v>1516</v>
      </c>
      <c r="G36" s="10" t="s">
        <v>8</v>
      </c>
      <c r="H36" s="30"/>
      <c r="I36" s="30"/>
      <c r="J36" s="30"/>
      <c r="K36" s="30"/>
    </row>
    <row r="37" spans="1:11" ht="21" customHeight="1" x14ac:dyDescent="0.45">
      <c r="A37" s="29" t="s">
        <v>1038</v>
      </c>
      <c r="B37" s="6" t="s">
        <v>1513</v>
      </c>
      <c r="C37" s="6" t="s">
        <v>1513</v>
      </c>
      <c r="D37" s="8" t="s">
        <v>449</v>
      </c>
      <c r="E37" s="8" t="s">
        <v>433</v>
      </c>
      <c r="F37" s="10" t="s">
        <v>1513</v>
      </c>
      <c r="G37" s="10" t="s">
        <v>8</v>
      </c>
      <c r="H37" s="30"/>
      <c r="I37" s="30"/>
      <c r="J37" s="30"/>
      <c r="K37" s="30"/>
    </row>
    <row r="38" spans="1:11" ht="21" customHeight="1" x14ac:dyDescent="0.45">
      <c r="A38" s="29" t="s">
        <v>1021</v>
      </c>
      <c r="B38" s="6" t="s">
        <v>1512</v>
      </c>
      <c r="C38" s="6" t="s">
        <v>1517</v>
      </c>
      <c r="D38" s="8" t="s">
        <v>449</v>
      </c>
      <c r="E38" s="8" t="s">
        <v>434</v>
      </c>
      <c r="F38" s="10" t="s">
        <v>1517</v>
      </c>
      <c r="G38" s="10" t="s">
        <v>8</v>
      </c>
      <c r="H38" s="30"/>
      <c r="I38" s="30"/>
      <c r="J38" s="30"/>
      <c r="K38" s="30"/>
    </row>
    <row r="39" spans="1:11" ht="21" customHeight="1" x14ac:dyDescent="0.45">
      <c r="A39" s="29" t="s">
        <v>1039</v>
      </c>
      <c r="B39" s="6" t="s">
        <v>1512</v>
      </c>
      <c r="C39" s="6" t="s">
        <v>1517</v>
      </c>
      <c r="D39" s="8" t="s">
        <v>449</v>
      </c>
      <c r="E39" s="8" t="s">
        <v>434</v>
      </c>
      <c r="F39" s="10" t="s">
        <v>1517</v>
      </c>
      <c r="G39" s="10" t="s">
        <v>8</v>
      </c>
      <c r="H39" s="30"/>
      <c r="I39" s="30"/>
      <c r="J39" s="30"/>
      <c r="K39" s="30"/>
    </row>
    <row r="40" spans="1:11" ht="21" customHeight="1" x14ac:dyDescent="0.45">
      <c r="A40" s="29" t="s">
        <v>1040</v>
      </c>
      <c r="B40" s="6" t="s">
        <v>1512</v>
      </c>
      <c r="C40" s="6" t="s">
        <v>1517</v>
      </c>
      <c r="D40" s="8" t="s">
        <v>449</v>
      </c>
      <c r="E40" s="8" t="s">
        <v>434</v>
      </c>
      <c r="F40" s="10" t="s">
        <v>1517</v>
      </c>
      <c r="G40" s="10" t="s">
        <v>8</v>
      </c>
      <c r="H40" s="30"/>
      <c r="I40" s="30"/>
      <c r="J40" s="30"/>
      <c r="K40" s="30"/>
    </row>
    <row r="41" spans="1:11" ht="21" customHeight="1" x14ac:dyDescent="0.45">
      <c r="A41" s="29" t="s">
        <v>1041</v>
      </c>
      <c r="B41" s="6" t="s">
        <v>1511</v>
      </c>
      <c r="C41" s="6" t="s">
        <v>1516</v>
      </c>
      <c r="D41" s="8" t="s">
        <v>449</v>
      </c>
      <c r="E41" s="8" t="s">
        <v>432</v>
      </c>
      <c r="F41" s="10" t="s">
        <v>1516</v>
      </c>
      <c r="G41" s="10" t="s">
        <v>8</v>
      </c>
      <c r="H41" s="30"/>
      <c r="I41" s="30"/>
      <c r="J41" s="30"/>
      <c r="K41" s="30"/>
    </row>
    <row r="42" spans="1:11" ht="21" customHeight="1" x14ac:dyDescent="0.45">
      <c r="A42" s="29" t="s">
        <v>123</v>
      </c>
      <c r="B42" s="6" t="s">
        <v>1509</v>
      </c>
      <c r="C42" s="6" t="s">
        <v>1509</v>
      </c>
      <c r="D42" s="8" t="s">
        <v>449</v>
      </c>
      <c r="E42" s="8" t="s">
        <v>433</v>
      </c>
      <c r="F42" s="10" t="s">
        <v>1509</v>
      </c>
      <c r="G42" s="10" t="s">
        <v>8</v>
      </c>
      <c r="H42" s="30"/>
      <c r="I42" s="30"/>
      <c r="J42" s="30"/>
      <c r="K42" s="30"/>
    </row>
    <row r="43" spans="1:11" ht="21" customHeight="1" x14ac:dyDescent="0.45">
      <c r="A43" s="29" t="s">
        <v>1042</v>
      </c>
      <c r="B43" s="6" t="s">
        <v>922</v>
      </c>
      <c r="C43" s="6" t="s">
        <v>1517</v>
      </c>
      <c r="D43" s="8" t="s">
        <v>449</v>
      </c>
      <c r="E43" s="8" t="s">
        <v>434</v>
      </c>
      <c r="F43" s="10" t="s">
        <v>1517</v>
      </c>
      <c r="G43" s="10" t="s">
        <v>8</v>
      </c>
      <c r="H43" s="30"/>
      <c r="I43" s="30"/>
      <c r="J43" s="30"/>
      <c r="K43" s="30"/>
    </row>
    <row r="44" spans="1:11" ht="21" customHeight="1" x14ac:dyDescent="0.45">
      <c r="A44" s="29" t="s">
        <v>1043</v>
      </c>
      <c r="B44" s="6" t="s">
        <v>1513</v>
      </c>
      <c r="C44" s="6" t="s">
        <v>1513</v>
      </c>
      <c r="D44" s="8" t="s">
        <v>449</v>
      </c>
      <c r="E44" s="8" t="s">
        <v>433</v>
      </c>
      <c r="F44" s="10" t="s">
        <v>1513</v>
      </c>
      <c r="G44" s="10" t="s">
        <v>8</v>
      </c>
      <c r="H44" s="30"/>
      <c r="I44" s="30"/>
      <c r="J44" s="30"/>
      <c r="K44" s="30"/>
    </row>
    <row r="45" spans="1:11" ht="21" customHeight="1" x14ac:dyDescent="0.45">
      <c r="A45" s="29" t="s">
        <v>922</v>
      </c>
      <c r="B45" s="6" t="s">
        <v>922</v>
      </c>
      <c r="C45" s="6" t="s">
        <v>1517</v>
      </c>
      <c r="D45" s="8" t="s">
        <v>449</v>
      </c>
      <c r="E45" s="8" t="s">
        <v>434</v>
      </c>
      <c r="F45" s="10" t="s">
        <v>1517</v>
      </c>
      <c r="G45" s="10" t="s">
        <v>8</v>
      </c>
      <c r="H45" s="30"/>
      <c r="I45" s="30"/>
      <c r="J45" s="30"/>
      <c r="K45" s="30"/>
    </row>
    <row r="46" spans="1:11" ht="21" customHeight="1" x14ac:dyDescent="0.45">
      <c r="A46" s="29" t="s">
        <v>1044</v>
      </c>
      <c r="B46" s="6" t="s">
        <v>1513</v>
      </c>
      <c r="C46" s="6" t="s">
        <v>1513</v>
      </c>
      <c r="D46" s="8" t="s">
        <v>449</v>
      </c>
      <c r="E46" s="8" t="s">
        <v>433</v>
      </c>
      <c r="F46" s="10" t="s">
        <v>1513</v>
      </c>
      <c r="G46" s="10" t="s">
        <v>8</v>
      </c>
      <c r="H46" s="30"/>
      <c r="I46" s="30"/>
      <c r="J46" s="30"/>
      <c r="K46" s="30"/>
    </row>
    <row r="47" spans="1:11" ht="21" customHeight="1" x14ac:dyDescent="0.45">
      <c r="A47" s="29" t="s">
        <v>1045</v>
      </c>
      <c r="B47" s="6" t="s">
        <v>1508</v>
      </c>
      <c r="C47" s="6" t="s">
        <v>1508</v>
      </c>
      <c r="D47" s="8" t="s">
        <v>449</v>
      </c>
      <c r="E47" s="8" t="s">
        <v>431</v>
      </c>
      <c r="F47" s="10" t="s">
        <v>1508</v>
      </c>
      <c r="G47" s="10" t="s">
        <v>8</v>
      </c>
      <c r="H47" s="30"/>
      <c r="I47" s="30"/>
      <c r="J47" s="30"/>
      <c r="K47" s="30"/>
    </row>
    <row r="48" spans="1:11" ht="21" customHeight="1" x14ac:dyDescent="0.45">
      <c r="A48" s="29" t="s">
        <v>1046</v>
      </c>
      <c r="B48" s="6" t="s">
        <v>1508</v>
      </c>
      <c r="C48" s="6" t="s">
        <v>1508</v>
      </c>
      <c r="D48" s="8" t="s">
        <v>449</v>
      </c>
      <c r="E48" s="8" t="s">
        <v>431</v>
      </c>
      <c r="F48" s="10" t="s">
        <v>1508</v>
      </c>
      <c r="G48" s="10" t="s">
        <v>8</v>
      </c>
      <c r="H48" s="30"/>
      <c r="I48" s="30"/>
      <c r="J48" s="30"/>
      <c r="K48" s="30"/>
    </row>
    <row r="49" spans="1:11" ht="21" customHeight="1" x14ac:dyDescent="0.45">
      <c r="A49" s="29" t="s">
        <v>1047</v>
      </c>
      <c r="B49" s="6" t="s">
        <v>1508</v>
      </c>
      <c r="C49" s="6" t="s">
        <v>1508</v>
      </c>
      <c r="D49" s="8" t="s">
        <v>449</v>
      </c>
      <c r="E49" s="8" t="s">
        <v>431</v>
      </c>
      <c r="F49" s="10" t="s">
        <v>1508</v>
      </c>
      <c r="G49" s="10" t="s">
        <v>8</v>
      </c>
      <c r="H49" s="30"/>
      <c r="I49" s="30"/>
      <c r="J49" s="30"/>
      <c r="K49" s="30"/>
    </row>
    <row r="50" spans="1:11" ht="21" customHeight="1" x14ac:dyDescent="0.45">
      <c r="A50" s="29" t="s">
        <v>124</v>
      </c>
      <c r="B50" s="6" t="s">
        <v>1508</v>
      </c>
      <c r="C50" s="6" t="s">
        <v>1508</v>
      </c>
      <c r="D50" s="8" t="s">
        <v>449</v>
      </c>
      <c r="E50" s="8" t="s">
        <v>431</v>
      </c>
      <c r="F50" s="10" t="s">
        <v>1508</v>
      </c>
      <c r="G50" s="10" t="s">
        <v>8</v>
      </c>
      <c r="H50" s="30"/>
      <c r="I50" s="30"/>
      <c r="J50" s="30"/>
      <c r="K50" s="30"/>
    </row>
    <row r="51" spans="1:11" ht="21" customHeight="1" x14ac:dyDescent="0.45">
      <c r="A51" s="29" t="s">
        <v>1048</v>
      </c>
      <c r="B51" s="6" t="s">
        <v>1509</v>
      </c>
      <c r="C51" s="6" t="s">
        <v>1509</v>
      </c>
      <c r="D51" s="8" t="s">
        <v>449</v>
      </c>
      <c r="E51" s="8" t="s">
        <v>433</v>
      </c>
      <c r="F51" s="10" t="s">
        <v>1509</v>
      </c>
      <c r="G51" s="10" t="s">
        <v>8</v>
      </c>
      <c r="H51" s="30"/>
      <c r="I51" s="30"/>
      <c r="J51" s="30"/>
      <c r="K51" s="30"/>
    </row>
    <row r="52" spans="1:11" ht="21" customHeight="1" x14ac:dyDescent="0.45">
      <c r="A52" s="29" t="s">
        <v>1049</v>
      </c>
      <c r="B52" s="6" t="s">
        <v>1513</v>
      </c>
      <c r="C52" s="6" t="s">
        <v>1513</v>
      </c>
      <c r="D52" s="8" t="s">
        <v>449</v>
      </c>
      <c r="E52" s="8" t="s">
        <v>433</v>
      </c>
      <c r="F52" s="10" t="s">
        <v>1513</v>
      </c>
      <c r="G52" s="10" t="s">
        <v>8</v>
      </c>
      <c r="H52" s="30"/>
      <c r="I52" s="30"/>
      <c r="J52" s="30"/>
      <c r="K52" s="30"/>
    </row>
    <row r="53" spans="1:11" ht="21" customHeight="1" x14ac:dyDescent="0.45">
      <c r="A53" s="29" t="s">
        <v>1050</v>
      </c>
      <c r="B53" s="6" t="s">
        <v>1515</v>
      </c>
      <c r="C53" s="6" t="s">
        <v>1516</v>
      </c>
      <c r="D53" s="8" t="s">
        <v>449</v>
      </c>
      <c r="E53" s="8" t="s">
        <v>433</v>
      </c>
      <c r="F53" s="10" t="s">
        <v>1516</v>
      </c>
      <c r="G53" s="10" t="s">
        <v>8</v>
      </c>
      <c r="H53" s="30"/>
      <c r="I53" s="30"/>
      <c r="J53" s="30"/>
      <c r="K53" s="30"/>
    </row>
    <row r="54" spans="1:11" ht="21" customHeight="1" x14ac:dyDescent="0.45">
      <c r="A54" s="29" t="s">
        <v>1051</v>
      </c>
      <c r="B54" s="6" t="s">
        <v>1509</v>
      </c>
      <c r="C54" s="6" t="s">
        <v>1509</v>
      </c>
      <c r="D54" s="8" t="s">
        <v>449</v>
      </c>
      <c r="E54" s="8" t="s">
        <v>433</v>
      </c>
      <c r="F54" s="10" t="s">
        <v>1509</v>
      </c>
      <c r="G54" s="10" t="s">
        <v>8</v>
      </c>
      <c r="H54" s="30"/>
      <c r="I54" s="30"/>
      <c r="J54" s="30"/>
      <c r="K54" s="30"/>
    </row>
    <row r="55" spans="1:11" ht="21" customHeight="1" x14ac:dyDescent="0.45">
      <c r="A55" s="29" t="s">
        <v>1052</v>
      </c>
      <c r="B55" s="6" t="s">
        <v>1508</v>
      </c>
      <c r="C55" s="6" t="s">
        <v>1508</v>
      </c>
      <c r="D55" s="8" t="s">
        <v>449</v>
      </c>
      <c r="E55" s="8" t="s">
        <v>431</v>
      </c>
      <c r="F55" s="10" t="s">
        <v>1508</v>
      </c>
      <c r="G55" s="10" t="s">
        <v>8</v>
      </c>
      <c r="H55" s="30"/>
      <c r="I55" s="30"/>
      <c r="J55" s="30"/>
      <c r="K55" s="30"/>
    </row>
    <row r="56" spans="1:11" ht="21" customHeight="1" x14ac:dyDescent="0.45">
      <c r="A56" s="29" t="s">
        <v>1053</v>
      </c>
      <c r="B56" s="6" t="s">
        <v>1508</v>
      </c>
      <c r="C56" s="6" t="s">
        <v>1508</v>
      </c>
      <c r="D56" s="8" t="s">
        <v>449</v>
      </c>
      <c r="E56" s="8" t="s">
        <v>431</v>
      </c>
      <c r="F56" s="10" t="s">
        <v>1508</v>
      </c>
      <c r="G56" s="10" t="s">
        <v>8</v>
      </c>
      <c r="H56" s="30"/>
      <c r="I56" s="30"/>
      <c r="J56" s="30"/>
      <c r="K56" s="30"/>
    </row>
    <row r="57" spans="1:11" ht="21" customHeight="1" x14ac:dyDescent="0.45">
      <c r="A57" s="29" t="s">
        <v>1054</v>
      </c>
      <c r="B57" s="6" t="s">
        <v>1509</v>
      </c>
      <c r="C57" s="6" t="s">
        <v>1509</v>
      </c>
      <c r="D57" s="8" t="s">
        <v>449</v>
      </c>
      <c r="E57" s="8" t="s">
        <v>433</v>
      </c>
      <c r="F57" s="10" t="s">
        <v>1509</v>
      </c>
      <c r="G57" s="10" t="s">
        <v>8</v>
      </c>
      <c r="H57" s="30"/>
      <c r="I57" s="30"/>
      <c r="J57" s="30"/>
      <c r="K57" s="30"/>
    </row>
    <row r="58" spans="1:11" ht="21" customHeight="1" x14ac:dyDescent="0.45">
      <c r="A58" s="29" t="s">
        <v>1055</v>
      </c>
      <c r="B58" s="6" t="s">
        <v>1508</v>
      </c>
      <c r="C58" s="6" t="s">
        <v>1508</v>
      </c>
      <c r="D58" s="8" t="s">
        <v>449</v>
      </c>
      <c r="E58" s="8" t="s">
        <v>431</v>
      </c>
      <c r="F58" s="10" t="s">
        <v>1508</v>
      </c>
      <c r="G58" s="10" t="s">
        <v>8</v>
      </c>
      <c r="H58" s="30"/>
      <c r="I58" s="30"/>
      <c r="J58" s="30"/>
      <c r="K58" s="30"/>
    </row>
    <row r="59" spans="1:11" ht="21" customHeight="1" x14ac:dyDescent="0.45">
      <c r="A59" s="29" t="s">
        <v>1056</v>
      </c>
      <c r="B59" s="6" t="s">
        <v>1513</v>
      </c>
      <c r="C59" s="6" t="s">
        <v>1513</v>
      </c>
      <c r="D59" s="8" t="s">
        <v>449</v>
      </c>
      <c r="E59" s="8" t="s">
        <v>433</v>
      </c>
      <c r="F59" s="10" t="s">
        <v>1513</v>
      </c>
      <c r="G59" s="10" t="s">
        <v>8</v>
      </c>
      <c r="H59" s="30"/>
      <c r="I59" s="30"/>
      <c r="J59" s="30"/>
      <c r="K59" s="30"/>
    </row>
    <row r="60" spans="1:11" ht="21" customHeight="1" x14ac:dyDescent="0.45">
      <c r="A60" s="29" t="s">
        <v>922</v>
      </c>
      <c r="B60" s="6" t="s">
        <v>922</v>
      </c>
      <c r="C60" s="6" t="s">
        <v>1517</v>
      </c>
      <c r="D60" s="8" t="s">
        <v>449</v>
      </c>
      <c r="E60" s="8" t="s">
        <v>434</v>
      </c>
      <c r="F60" s="10" t="s">
        <v>1517</v>
      </c>
      <c r="G60" s="10" t="s">
        <v>8</v>
      </c>
      <c r="H60" s="30"/>
      <c r="I60" s="30"/>
      <c r="J60" s="30"/>
      <c r="K60" s="30"/>
    </row>
    <row r="61" spans="1:11" ht="21" customHeight="1" x14ac:dyDescent="0.45">
      <c r="A61" s="29" t="s">
        <v>1057</v>
      </c>
      <c r="B61" s="6" t="s">
        <v>1508</v>
      </c>
      <c r="C61" s="6" t="s">
        <v>1508</v>
      </c>
      <c r="D61" s="8" t="s">
        <v>449</v>
      </c>
      <c r="E61" s="8" t="s">
        <v>431</v>
      </c>
      <c r="F61" s="10" t="s">
        <v>1508</v>
      </c>
      <c r="G61" s="10" t="s">
        <v>8</v>
      </c>
      <c r="H61" s="30"/>
      <c r="I61" s="30"/>
      <c r="J61" s="30"/>
      <c r="K61" s="30"/>
    </row>
    <row r="62" spans="1:11" ht="21" customHeight="1" x14ac:dyDescent="0.45">
      <c r="A62" s="29" t="s">
        <v>1058</v>
      </c>
      <c r="B62" s="6" t="s">
        <v>922</v>
      </c>
      <c r="C62" s="6" t="s">
        <v>1517</v>
      </c>
      <c r="D62" s="8" t="s">
        <v>449</v>
      </c>
      <c r="E62" s="8" t="s">
        <v>434</v>
      </c>
      <c r="F62" s="10" t="s">
        <v>1517</v>
      </c>
      <c r="G62" s="10" t="s">
        <v>8</v>
      </c>
      <c r="H62" s="30"/>
      <c r="I62" s="30"/>
      <c r="J62" s="30"/>
      <c r="K62" s="30"/>
    </row>
    <row r="63" spans="1:11" ht="21" customHeight="1" x14ac:dyDescent="0.45">
      <c r="A63" s="29" t="s">
        <v>1059</v>
      </c>
      <c r="B63" s="6" t="s">
        <v>1515</v>
      </c>
      <c r="C63" s="6" t="s">
        <v>1516</v>
      </c>
      <c r="D63" s="8" t="s">
        <v>449</v>
      </c>
      <c r="E63" s="8" t="s">
        <v>432</v>
      </c>
      <c r="F63" s="10" t="s">
        <v>1516</v>
      </c>
      <c r="G63" s="10" t="s">
        <v>8</v>
      </c>
      <c r="H63" s="30"/>
      <c r="I63" s="30"/>
      <c r="J63" s="30"/>
      <c r="K63" s="30"/>
    </row>
    <row r="64" spans="1:11" ht="21" customHeight="1" x14ac:dyDescent="0.45">
      <c r="A64" s="29" t="s">
        <v>1060</v>
      </c>
      <c r="B64" s="6" t="s">
        <v>1508</v>
      </c>
      <c r="C64" s="6" t="s">
        <v>1508</v>
      </c>
      <c r="D64" s="8" t="s">
        <v>449</v>
      </c>
      <c r="E64" s="8" t="s">
        <v>431</v>
      </c>
      <c r="F64" s="10" t="s">
        <v>1508</v>
      </c>
      <c r="G64" s="10" t="s">
        <v>8</v>
      </c>
      <c r="H64" s="30"/>
      <c r="I64" s="30"/>
      <c r="J64" s="30"/>
      <c r="K64" s="30"/>
    </row>
    <row r="65" spans="1:11" ht="21" customHeight="1" x14ac:dyDescent="0.45">
      <c r="A65" s="29" t="s">
        <v>1061</v>
      </c>
      <c r="B65" s="6" t="s">
        <v>1509</v>
      </c>
      <c r="C65" s="6" t="s">
        <v>1509</v>
      </c>
      <c r="D65" s="8" t="s">
        <v>449</v>
      </c>
      <c r="E65" s="8" t="s">
        <v>433</v>
      </c>
      <c r="F65" s="10" t="s">
        <v>1509</v>
      </c>
      <c r="G65" s="10" t="s">
        <v>8</v>
      </c>
      <c r="H65" s="30"/>
      <c r="I65" s="30"/>
      <c r="J65" s="30"/>
      <c r="K65" s="30"/>
    </row>
    <row r="66" spans="1:11" ht="21" customHeight="1" x14ac:dyDescent="0.45">
      <c r="A66" s="29" t="s">
        <v>1062</v>
      </c>
      <c r="B66" s="6" t="s">
        <v>1509</v>
      </c>
      <c r="C66" s="6" t="s">
        <v>1509</v>
      </c>
      <c r="D66" s="8" t="s">
        <v>449</v>
      </c>
      <c r="E66" s="8" t="s">
        <v>433</v>
      </c>
      <c r="F66" s="10" t="s">
        <v>1509</v>
      </c>
      <c r="G66" s="10" t="s">
        <v>8</v>
      </c>
      <c r="H66" s="30"/>
      <c r="I66" s="30"/>
      <c r="J66" s="30"/>
      <c r="K66" s="30"/>
    </row>
    <row r="67" spans="1:11" ht="21" customHeight="1" x14ac:dyDescent="0.45">
      <c r="A67" s="29" t="s">
        <v>1063</v>
      </c>
      <c r="B67" s="6" t="s">
        <v>1512</v>
      </c>
      <c r="C67" s="6" t="s">
        <v>1517</v>
      </c>
      <c r="D67" s="8" t="s">
        <v>449</v>
      </c>
      <c r="E67" s="8" t="s">
        <v>434</v>
      </c>
      <c r="F67" s="10" t="s">
        <v>1517</v>
      </c>
      <c r="G67" s="10" t="s">
        <v>8</v>
      </c>
      <c r="H67" s="30"/>
      <c r="I67" s="30"/>
      <c r="J67" s="30"/>
      <c r="K67" s="30"/>
    </row>
    <row r="68" spans="1:11" ht="21" customHeight="1" x14ac:dyDescent="0.45">
      <c r="A68" s="49"/>
      <c r="B68" s="49"/>
      <c r="C68" s="49"/>
      <c r="D68" s="49"/>
      <c r="E68" s="49"/>
      <c r="F68" s="49"/>
      <c r="G68" s="49"/>
    </row>
    <row r="69" spans="1:11" ht="21" customHeight="1" x14ac:dyDescent="0.45">
      <c r="A69" s="49"/>
      <c r="B69" s="49"/>
      <c r="C69" s="49"/>
      <c r="D69" s="49"/>
      <c r="E69" s="49"/>
      <c r="F69" s="49"/>
      <c r="G69" s="49"/>
    </row>
    <row r="70" spans="1:11" ht="21" customHeight="1" x14ac:dyDescent="0.45">
      <c r="A70" s="49"/>
      <c r="B70" s="49"/>
      <c r="C70" s="49"/>
      <c r="D70" s="49"/>
      <c r="E70" s="49"/>
      <c r="F70" s="49"/>
      <c r="G70" s="49"/>
    </row>
    <row r="71" spans="1:11" ht="21" customHeight="1" x14ac:dyDescent="0.45">
      <c r="A71" s="49"/>
      <c r="B71" s="49"/>
      <c r="C71" s="49"/>
      <c r="D71" s="49"/>
      <c r="E71" s="49"/>
      <c r="F71" s="49"/>
      <c r="G71" s="49"/>
    </row>
    <row r="72" spans="1:11" ht="21" customHeight="1" x14ac:dyDescent="0.45">
      <c r="A72" s="49"/>
      <c r="B72" s="49"/>
      <c r="C72" s="49"/>
      <c r="D72" s="49"/>
      <c r="E72" s="49"/>
      <c r="F72" s="49"/>
      <c r="G72" s="49"/>
    </row>
    <row r="73" spans="1:11" ht="21" customHeight="1" x14ac:dyDescent="0.45">
      <c r="A73" s="49"/>
      <c r="B73" s="49"/>
      <c r="C73" s="49"/>
      <c r="D73" s="49"/>
      <c r="E73" s="49"/>
      <c r="F73" s="49"/>
      <c r="G73" s="49"/>
    </row>
    <row r="74" spans="1:11" ht="21" customHeight="1" x14ac:dyDescent="0.45">
      <c r="A74" s="49"/>
      <c r="B74" s="49"/>
      <c r="C74" s="49"/>
      <c r="D74" s="49"/>
      <c r="E74" s="49"/>
      <c r="F74" s="49"/>
      <c r="G74" s="49"/>
    </row>
    <row r="75" spans="1:11" ht="21" customHeight="1" x14ac:dyDescent="0.45">
      <c r="A75" s="49"/>
      <c r="B75" s="49"/>
      <c r="C75" s="49"/>
      <c r="D75" s="49"/>
      <c r="E75" s="49"/>
      <c r="F75" s="49"/>
      <c r="G75" s="49"/>
    </row>
    <row r="76" spans="1:11" ht="21" customHeight="1" x14ac:dyDescent="0.45"/>
    <row r="77" spans="1:11" ht="21" customHeight="1" x14ac:dyDescent="0.45"/>
    <row r="78" spans="1:11" ht="21" customHeight="1" x14ac:dyDescent="0.45">
      <c r="A78" s="49"/>
      <c r="B78" s="49"/>
      <c r="C78" s="49"/>
      <c r="D78" s="49"/>
      <c r="E78" s="49"/>
      <c r="F78" s="49"/>
      <c r="G78" s="49"/>
    </row>
    <row r="79" spans="1:11" ht="21" customHeight="1" x14ac:dyDescent="0.45">
      <c r="A79" s="49"/>
      <c r="B79" s="49"/>
      <c r="C79" s="49"/>
      <c r="D79" s="49"/>
      <c r="E79" s="49"/>
      <c r="F79" s="49"/>
      <c r="G79" s="49"/>
    </row>
    <row r="80" spans="1:11" ht="21" customHeight="1" x14ac:dyDescent="0.45">
      <c r="A80" s="49"/>
      <c r="B80" s="49"/>
      <c r="C80" s="49"/>
      <c r="D80" s="49"/>
      <c r="E80" s="49"/>
      <c r="F80" s="49"/>
      <c r="G80" s="49"/>
    </row>
    <row r="81" spans="1:7" ht="21" customHeight="1" x14ac:dyDescent="0.45">
      <c r="A81" s="49"/>
      <c r="B81" s="49"/>
      <c r="C81" s="49"/>
      <c r="D81" s="49"/>
      <c r="E81" s="49"/>
      <c r="F81" s="49"/>
      <c r="G81" s="49"/>
    </row>
    <row r="82" spans="1:7" ht="21" customHeight="1" x14ac:dyDescent="0.45">
      <c r="A82" s="49"/>
      <c r="B82" s="49"/>
      <c r="C82" s="49"/>
      <c r="D82" s="49"/>
      <c r="E82" s="49"/>
      <c r="F82" s="49"/>
      <c r="G82" s="49"/>
    </row>
    <row r="83" spans="1:7" ht="21" customHeight="1" x14ac:dyDescent="0.45">
      <c r="A83" s="49"/>
      <c r="B83" s="49"/>
      <c r="C83" s="49"/>
      <c r="D83" s="49"/>
      <c r="E83" s="49"/>
      <c r="F83" s="49"/>
      <c r="G83" s="49"/>
    </row>
  </sheetData>
  <mergeCells count="3">
    <mergeCell ref="B2:C2"/>
    <mergeCell ref="D2:E2"/>
    <mergeCell ref="I12:J12"/>
  </mergeCells>
  <phoneticPr fontId="16" type="noConversion"/>
  <pageMargins left="0.7" right="0.7" top="0.78740157499999996" bottom="0.78740157499999996" header="0.3" footer="0.3"/>
  <tableParts count="4">
    <tablePart r:id="rId1"/>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DB140-940D-43B1-B7E7-B06CD0F13EA9}">
  <dimension ref="A1:K83"/>
  <sheetViews>
    <sheetView zoomScale="70" zoomScaleNormal="70" workbookViewId="0">
      <selection activeCell="A4" sqref="A4"/>
    </sheetView>
  </sheetViews>
  <sheetFormatPr baseColWidth="10" defaultRowHeight="14.25" x14ac:dyDescent="0.45"/>
  <cols>
    <col min="1" max="1" width="43.46484375" customWidth="1"/>
    <col min="2" max="2" width="25.265625" customWidth="1"/>
    <col min="3" max="3" width="30.796875" customWidth="1"/>
    <col min="4" max="4" width="20.53125" customWidth="1"/>
    <col min="5" max="5" width="27.59765625" customWidth="1"/>
    <col min="6" max="6" width="42" customWidth="1"/>
    <col min="7" max="7" width="15.53125" customWidth="1"/>
    <col min="9" max="9" width="14.06640625" customWidth="1"/>
    <col min="10" max="10" width="41.33203125" customWidth="1"/>
  </cols>
  <sheetData>
    <row r="1" spans="1:11" ht="54" customHeight="1" x14ac:dyDescent="0.45">
      <c r="A1" s="37" t="s">
        <v>125</v>
      </c>
      <c r="B1" s="30"/>
      <c r="C1" s="30"/>
      <c r="D1" s="30"/>
      <c r="E1" s="30"/>
      <c r="F1" s="30"/>
      <c r="G1" s="30"/>
      <c r="H1" s="30"/>
      <c r="I1" s="30"/>
      <c r="J1" s="30"/>
      <c r="K1" s="30"/>
    </row>
    <row r="2" spans="1:11" ht="26.65" x14ac:dyDescent="0.85">
      <c r="A2" s="30"/>
      <c r="B2" s="61" t="s">
        <v>451</v>
      </c>
      <c r="C2" s="61"/>
      <c r="D2" s="62" t="s">
        <v>452</v>
      </c>
      <c r="E2" s="62"/>
      <c r="F2" s="28" t="s">
        <v>457</v>
      </c>
      <c r="G2" s="28"/>
      <c r="H2" s="30"/>
      <c r="I2" s="15" t="s">
        <v>457</v>
      </c>
      <c r="J2" s="15"/>
      <c r="K2" s="31"/>
    </row>
    <row r="3" spans="1:11" ht="21" customHeight="1" x14ac:dyDescent="0.55000000000000004">
      <c r="A3" s="13" t="s">
        <v>1</v>
      </c>
      <c r="B3" s="12" t="s">
        <v>453</v>
      </c>
      <c r="C3" s="12" t="s">
        <v>454</v>
      </c>
      <c r="D3" s="11" t="s">
        <v>455</v>
      </c>
      <c r="E3" s="11" t="s">
        <v>456</v>
      </c>
      <c r="F3" s="14" t="s">
        <v>143</v>
      </c>
      <c r="G3" s="14" t="s">
        <v>4</v>
      </c>
      <c r="H3" s="30"/>
      <c r="I3" s="14" t="s">
        <v>5</v>
      </c>
      <c r="J3" s="14" t="s">
        <v>143</v>
      </c>
      <c r="K3" s="32"/>
    </row>
    <row r="4" spans="1:11" ht="21" customHeight="1" x14ac:dyDescent="0.45">
      <c r="A4" s="29" t="s">
        <v>1064</v>
      </c>
      <c r="B4" s="6" t="s">
        <v>1497</v>
      </c>
      <c r="C4" s="6" t="s">
        <v>1507</v>
      </c>
      <c r="D4" s="8"/>
      <c r="E4" s="8" t="s">
        <v>476</v>
      </c>
      <c r="F4" s="10" t="s">
        <v>1507</v>
      </c>
      <c r="G4" s="10" t="s">
        <v>470</v>
      </c>
      <c r="H4" s="30"/>
      <c r="I4" s="43">
        <f>COUNTIF(Tabelle12265397112116120129137141149153[[#All],[Merged Theme]],Tabelle10951259109113117126134138146150[[#This Row],[Merged Theme]])</f>
        <v>33</v>
      </c>
      <c r="J4" s="45" t="s">
        <v>1507</v>
      </c>
      <c r="K4" s="9"/>
    </row>
    <row r="5" spans="1:11" s="47" customFormat="1" ht="21" customHeight="1" x14ac:dyDescent="0.45">
      <c r="A5" s="29" t="s">
        <v>1065</v>
      </c>
      <c r="B5" s="6" t="s">
        <v>1498</v>
      </c>
      <c r="C5" s="6" t="s">
        <v>1505</v>
      </c>
      <c r="D5" s="8"/>
      <c r="E5" s="42" t="s">
        <v>476</v>
      </c>
      <c r="F5" s="10" t="s">
        <v>1505</v>
      </c>
      <c r="G5" s="10" t="s">
        <v>470</v>
      </c>
      <c r="H5" s="44"/>
      <c r="I5" s="43">
        <f>COUNTIF(Tabelle12265397112116120129137141149153[[#All],[Merged Theme]],Tabelle10951259109113117126134138146150[[#This Row],[Merged Theme]])</f>
        <v>18</v>
      </c>
      <c r="J5" s="45" t="s">
        <v>1505</v>
      </c>
      <c r="K5" s="46"/>
    </row>
    <row r="6" spans="1:11" ht="21" customHeight="1" x14ac:dyDescent="0.45">
      <c r="A6" s="29" t="s">
        <v>1066</v>
      </c>
      <c r="B6" s="6" t="s">
        <v>1499</v>
      </c>
      <c r="C6" s="6" t="s">
        <v>1506</v>
      </c>
      <c r="D6" s="8"/>
      <c r="E6" s="8" t="s">
        <v>435</v>
      </c>
      <c r="F6" s="10" t="s">
        <v>1506</v>
      </c>
      <c r="G6" s="10" t="s">
        <v>8</v>
      </c>
      <c r="H6" s="30"/>
      <c r="I6" s="43">
        <f>COUNTIF(Tabelle12265397112116120129137141149153[[#All],[Merged Theme]],Tabelle10951259109113117126134138146150[[#This Row],[Merged Theme]])</f>
        <v>26</v>
      </c>
      <c r="J6" s="45" t="s">
        <v>1506</v>
      </c>
      <c r="K6" s="9"/>
    </row>
    <row r="7" spans="1:11" ht="21" customHeight="1" x14ac:dyDescent="0.45">
      <c r="A7" s="29" t="s">
        <v>1067</v>
      </c>
      <c r="B7" s="6" t="s">
        <v>1497</v>
      </c>
      <c r="C7" s="6" t="s">
        <v>1507</v>
      </c>
      <c r="D7" s="8"/>
      <c r="E7" s="8" t="s">
        <v>435</v>
      </c>
      <c r="F7" s="10" t="s">
        <v>1507</v>
      </c>
      <c r="G7" s="10" t="s">
        <v>470</v>
      </c>
      <c r="H7" s="30"/>
      <c r="I7" s="17">
        <f>SUM(Tabelle10951259109113117126134138146150[Mentions])</f>
        <v>77</v>
      </c>
      <c r="J7" s="18"/>
      <c r="K7" s="9"/>
    </row>
    <row r="8" spans="1:11" ht="21" customHeight="1" x14ac:dyDescent="0.45">
      <c r="A8" s="29" t="s">
        <v>1068</v>
      </c>
      <c r="B8" s="6" t="s">
        <v>1500</v>
      </c>
      <c r="C8" s="6" t="s">
        <v>1507</v>
      </c>
      <c r="D8" s="8"/>
      <c r="E8" s="8" t="s">
        <v>476</v>
      </c>
      <c r="F8" s="10" t="s">
        <v>1507</v>
      </c>
      <c r="G8" s="10" t="s">
        <v>8</v>
      </c>
      <c r="H8" s="30"/>
      <c r="I8" s="30"/>
      <c r="J8" s="30"/>
      <c r="K8" s="9"/>
    </row>
    <row r="9" spans="1:11" ht="21" customHeight="1" x14ac:dyDescent="0.45">
      <c r="A9" s="29" t="s">
        <v>1069</v>
      </c>
      <c r="B9" s="6" t="s">
        <v>126</v>
      </c>
      <c r="C9" s="6" t="s">
        <v>1506</v>
      </c>
      <c r="D9" s="8"/>
      <c r="E9" s="8" t="s">
        <v>435</v>
      </c>
      <c r="F9" s="10" t="s">
        <v>1506</v>
      </c>
      <c r="G9" s="10" t="s">
        <v>8</v>
      </c>
      <c r="H9" s="30"/>
      <c r="I9" s="30"/>
      <c r="J9" s="30"/>
      <c r="K9" s="33"/>
    </row>
    <row r="10" spans="1:11" ht="21" customHeight="1" x14ac:dyDescent="0.65">
      <c r="A10" s="29" t="s">
        <v>1070</v>
      </c>
      <c r="B10" s="6" t="s">
        <v>1501</v>
      </c>
      <c r="C10" s="6" t="s">
        <v>1507</v>
      </c>
      <c r="D10" s="8"/>
      <c r="E10" s="8" t="s">
        <v>477</v>
      </c>
      <c r="F10" s="10" t="s">
        <v>1507</v>
      </c>
      <c r="G10" s="10" t="s">
        <v>471</v>
      </c>
      <c r="H10" s="30"/>
      <c r="I10" s="63" t="s">
        <v>451</v>
      </c>
      <c r="J10" s="63"/>
      <c r="K10" s="9"/>
    </row>
    <row r="11" spans="1:11" ht="21" customHeight="1" x14ac:dyDescent="0.55000000000000004">
      <c r="A11" s="29" t="s">
        <v>1071</v>
      </c>
      <c r="B11" s="6" t="s">
        <v>1501</v>
      </c>
      <c r="C11" s="6" t="s">
        <v>1507</v>
      </c>
      <c r="D11" s="8"/>
      <c r="E11" s="8" t="s">
        <v>477</v>
      </c>
      <c r="F11" s="10" t="s">
        <v>1507</v>
      </c>
      <c r="G11" s="10" t="s">
        <v>471</v>
      </c>
      <c r="H11" s="30"/>
      <c r="I11" s="23" t="s">
        <v>5</v>
      </c>
      <c r="J11" s="22" t="s">
        <v>3</v>
      </c>
      <c r="K11" s="9"/>
    </row>
    <row r="12" spans="1:11" ht="21" customHeight="1" x14ac:dyDescent="0.65">
      <c r="A12" s="29" t="s">
        <v>1072</v>
      </c>
      <c r="B12" s="6" t="s">
        <v>1502</v>
      </c>
      <c r="C12" s="6" t="s">
        <v>1506</v>
      </c>
      <c r="D12" s="8"/>
      <c r="E12" s="8" t="s">
        <v>435</v>
      </c>
      <c r="F12" s="10" t="s">
        <v>1506</v>
      </c>
      <c r="G12" s="10" t="s">
        <v>471</v>
      </c>
      <c r="H12" s="30"/>
      <c r="I12" s="6">
        <f>COUNTIF(Tabelle12265397112116120129137141149153[A - Theme],Tabelle10911152394110114118127135139147151[[#This Row],[Theme]])</f>
        <v>33</v>
      </c>
      <c r="J12" s="38" t="s">
        <v>1507</v>
      </c>
      <c r="K12" s="31"/>
    </row>
    <row r="13" spans="1:11" ht="21" customHeight="1" x14ac:dyDescent="0.55000000000000004">
      <c r="A13" s="29" t="s">
        <v>1073</v>
      </c>
      <c r="B13" s="6" t="s">
        <v>1501</v>
      </c>
      <c r="C13" s="6" t="s">
        <v>1507</v>
      </c>
      <c r="D13" s="8"/>
      <c r="E13" s="8" t="s">
        <v>477</v>
      </c>
      <c r="F13" s="10" t="s">
        <v>1507</v>
      </c>
      <c r="G13" s="10" t="s">
        <v>471</v>
      </c>
      <c r="H13" s="30"/>
      <c r="I13" s="6">
        <f>COUNTIF(Tabelle12265397112116120129137141149153[A - Theme],Tabelle10911152394110114118127135139147151[[#This Row],[Theme]])</f>
        <v>18</v>
      </c>
      <c r="J13" s="38" t="s">
        <v>1505</v>
      </c>
      <c r="K13" s="34"/>
    </row>
    <row r="14" spans="1:11" ht="21" customHeight="1" x14ac:dyDescent="0.45">
      <c r="A14" s="29" t="s">
        <v>1074</v>
      </c>
      <c r="B14" s="6" t="s">
        <v>1497</v>
      </c>
      <c r="C14" s="6" t="s">
        <v>1507</v>
      </c>
      <c r="D14" s="8"/>
      <c r="E14" s="8" t="s">
        <v>476</v>
      </c>
      <c r="F14" s="10" t="s">
        <v>1507</v>
      </c>
      <c r="G14" s="10" t="s">
        <v>470</v>
      </c>
      <c r="H14" s="30"/>
      <c r="I14" s="6">
        <f>COUNTIF(Tabelle12265397112116120129137141149153[A - Theme],Tabelle10911152394110114118127135139147151[[#This Row],[Theme]])</f>
        <v>26</v>
      </c>
      <c r="J14" s="38" t="s">
        <v>1506</v>
      </c>
      <c r="K14" s="35"/>
    </row>
    <row r="15" spans="1:11" ht="21" customHeight="1" x14ac:dyDescent="0.45">
      <c r="A15" s="29" t="s">
        <v>1075</v>
      </c>
      <c r="B15" s="6" t="s">
        <v>1499</v>
      </c>
      <c r="C15" s="6" t="s">
        <v>1506</v>
      </c>
      <c r="D15" s="8"/>
      <c r="E15" s="8" t="s">
        <v>436</v>
      </c>
      <c r="F15" s="10" t="s">
        <v>1506</v>
      </c>
      <c r="G15" s="10" t="s">
        <v>8</v>
      </c>
      <c r="H15" s="30"/>
      <c r="I15" s="20">
        <f>SUM(Tabelle10911152394110114118127135139147151[Mentions])</f>
        <v>77</v>
      </c>
      <c r="J15" s="21"/>
      <c r="K15" s="35"/>
    </row>
    <row r="16" spans="1:11" ht="21" customHeight="1" x14ac:dyDescent="0.45">
      <c r="A16" s="29" t="s">
        <v>1076</v>
      </c>
      <c r="B16" s="6" t="s">
        <v>1499</v>
      </c>
      <c r="C16" s="6" t="s">
        <v>1506</v>
      </c>
      <c r="D16" s="8"/>
      <c r="E16" s="8" t="s">
        <v>436</v>
      </c>
      <c r="F16" s="10" t="s">
        <v>1506</v>
      </c>
      <c r="G16" s="10" t="s">
        <v>471</v>
      </c>
      <c r="H16" s="30"/>
      <c r="I16" s="30"/>
      <c r="J16" s="30"/>
      <c r="K16" s="35"/>
    </row>
    <row r="17" spans="1:11" ht="21" customHeight="1" x14ac:dyDescent="0.45">
      <c r="A17" s="29" t="s">
        <v>1077</v>
      </c>
      <c r="B17" s="6" t="s">
        <v>1499</v>
      </c>
      <c r="C17" s="6" t="s">
        <v>1506</v>
      </c>
      <c r="D17" s="8"/>
      <c r="E17" s="8" t="s">
        <v>436</v>
      </c>
      <c r="F17" s="10" t="s">
        <v>1506</v>
      </c>
      <c r="G17" s="10" t="s">
        <v>471</v>
      </c>
      <c r="H17" s="30"/>
      <c r="I17" s="30"/>
      <c r="J17" s="30"/>
      <c r="K17" s="35"/>
    </row>
    <row r="18" spans="1:11" ht="21" customHeight="1" x14ac:dyDescent="0.65">
      <c r="A18" s="29" t="s">
        <v>1078</v>
      </c>
      <c r="B18" s="6" t="s">
        <v>1498</v>
      </c>
      <c r="C18" s="6" t="s">
        <v>1505</v>
      </c>
      <c r="D18" s="8"/>
      <c r="E18" s="8" t="s">
        <v>476</v>
      </c>
      <c r="F18" s="10" t="s">
        <v>1505</v>
      </c>
      <c r="G18" s="10" t="s">
        <v>8</v>
      </c>
      <c r="H18" s="30"/>
      <c r="I18" s="36" t="s">
        <v>452</v>
      </c>
      <c r="J18" s="36"/>
      <c r="K18" s="35"/>
    </row>
    <row r="19" spans="1:11" ht="21" customHeight="1" x14ac:dyDescent="0.55000000000000004">
      <c r="A19" s="29" t="s">
        <v>1079</v>
      </c>
      <c r="B19" s="6" t="s">
        <v>1498</v>
      </c>
      <c r="C19" s="6" t="s">
        <v>1505</v>
      </c>
      <c r="D19" s="8"/>
      <c r="E19" s="8" t="s">
        <v>476</v>
      </c>
      <c r="F19" s="10" t="s">
        <v>1505</v>
      </c>
      <c r="G19" s="10" t="s">
        <v>470</v>
      </c>
      <c r="H19" s="30"/>
      <c r="I19" s="19" t="s">
        <v>5</v>
      </c>
      <c r="J19" s="19" t="s">
        <v>3</v>
      </c>
      <c r="K19" s="35"/>
    </row>
    <row r="20" spans="1:11" ht="21" customHeight="1" x14ac:dyDescent="0.45">
      <c r="A20" s="29" t="s">
        <v>1080</v>
      </c>
      <c r="B20" s="6" t="s">
        <v>1500</v>
      </c>
      <c r="C20" s="6" t="s">
        <v>1507</v>
      </c>
      <c r="D20" s="8"/>
      <c r="E20" s="8" t="s">
        <v>476</v>
      </c>
      <c r="F20" s="10" t="s">
        <v>1507</v>
      </c>
      <c r="G20" s="10" t="s">
        <v>470</v>
      </c>
      <c r="H20" s="30"/>
      <c r="I20" s="8">
        <f>COUNTIF(Tabelle12265397112116120129137141149153[B - Theme],Tabelle10911111258796111115119128136140148152[[#This Row],[Theme]])</f>
        <v>26</v>
      </c>
      <c r="J20" s="26" t="s">
        <v>476</v>
      </c>
      <c r="K20" s="35"/>
    </row>
    <row r="21" spans="1:11" ht="21" customHeight="1" x14ac:dyDescent="0.45">
      <c r="A21" s="29" t="s">
        <v>1081</v>
      </c>
      <c r="B21" s="6" t="s">
        <v>126</v>
      </c>
      <c r="C21" s="6" t="s">
        <v>1506</v>
      </c>
      <c r="D21" s="8"/>
      <c r="E21" s="8" t="s">
        <v>435</v>
      </c>
      <c r="F21" s="10" t="s">
        <v>1506</v>
      </c>
      <c r="G21" s="10" t="s">
        <v>8</v>
      </c>
      <c r="H21" s="30"/>
      <c r="I21" s="8">
        <f>COUNTIF(Tabelle12265397112116120129137141149153[B - Theme],Tabelle10911111258796111115119128136140148152[[#This Row],[Theme]])</f>
        <v>29</v>
      </c>
      <c r="J21" s="26" t="s">
        <v>435</v>
      </c>
      <c r="K21" s="35"/>
    </row>
    <row r="22" spans="1:11" ht="21" customHeight="1" x14ac:dyDescent="0.45">
      <c r="A22" s="29" t="s">
        <v>1082</v>
      </c>
      <c r="B22" s="6" t="s">
        <v>1503</v>
      </c>
      <c r="C22" s="6" t="s">
        <v>1505</v>
      </c>
      <c r="D22" s="8"/>
      <c r="E22" s="8" t="s">
        <v>435</v>
      </c>
      <c r="F22" s="10" t="s">
        <v>1505</v>
      </c>
      <c r="G22" s="10" t="s">
        <v>8</v>
      </c>
      <c r="H22" s="30"/>
      <c r="I22" s="8">
        <f>COUNTIF(Tabelle12265397112116120129137141149153[B - Theme],Tabelle10911111258796111115119128136140148152[[#This Row],[Theme]])</f>
        <v>12</v>
      </c>
      <c r="J22" s="26" t="s">
        <v>477</v>
      </c>
      <c r="K22" s="35"/>
    </row>
    <row r="23" spans="1:11" ht="21" customHeight="1" x14ac:dyDescent="0.45">
      <c r="A23" s="29" t="s">
        <v>1083</v>
      </c>
      <c r="B23" s="6" t="s">
        <v>1500</v>
      </c>
      <c r="C23" s="6" t="s">
        <v>1507</v>
      </c>
      <c r="D23" s="8"/>
      <c r="E23" s="8" t="s">
        <v>477</v>
      </c>
      <c r="F23" s="10" t="s">
        <v>1507</v>
      </c>
      <c r="G23" s="10" t="s">
        <v>471</v>
      </c>
      <c r="H23" s="30"/>
      <c r="I23" s="8">
        <f>COUNTIF(Tabelle12265397112116120129137141149153[B - Theme],Tabelle10911111258796111115119128136140148152[[#This Row],[Theme]])</f>
        <v>10</v>
      </c>
      <c r="J23" s="26" t="s">
        <v>436</v>
      </c>
      <c r="K23" s="35"/>
    </row>
    <row r="24" spans="1:11" ht="21" customHeight="1" x14ac:dyDescent="0.45">
      <c r="A24" s="29" t="s">
        <v>1084</v>
      </c>
      <c r="B24" s="6" t="s">
        <v>1499</v>
      </c>
      <c r="C24" s="6" t="s">
        <v>1506</v>
      </c>
      <c r="D24" s="8"/>
      <c r="E24" s="8" t="s">
        <v>435</v>
      </c>
      <c r="F24" s="10" t="s">
        <v>1506</v>
      </c>
      <c r="G24" s="10" t="s">
        <v>471</v>
      </c>
      <c r="H24" s="30"/>
      <c r="I24" s="24">
        <f>SUM(Tabelle10911111258796111115119128136140148152[Mentions])</f>
        <v>77</v>
      </c>
      <c r="J24" s="25"/>
      <c r="K24" s="33"/>
    </row>
    <row r="25" spans="1:11" ht="21" customHeight="1" x14ac:dyDescent="0.45">
      <c r="A25" s="29" t="s">
        <v>1085</v>
      </c>
      <c r="B25" s="6" t="s">
        <v>1498</v>
      </c>
      <c r="C25" s="6" t="s">
        <v>1505</v>
      </c>
      <c r="D25" s="8"/>
      <c r="E25" s="8" t="s">
        <v>435</v>
      </c>
      <c r="F25" s="10" t="s">
        <v>1505</v>
      </c>
      <c r="G25" s="10" t="s">
        <v>8</v>
      </c>
      <c r="H25" s="30"/>
      <c r="I25" s="30"/>
      <c r="J25" s="30"/>
      <c r="K25" s="30"/>
    </row>
    <row r="26" spans="1:11" ht="21" customHeight="1" x14ac:dyDescent="0.45">
      <c r="A26" s="29" t="s">
        <v>1086</v>
      </c>
      <c r="B26" s="6" t="s">
        <v>1497</v>
      </c>
      <c r="C26" s="6" t="s">
        <v>1507</v>
      </c>
      <c r="D26" s="8"/>
      <c r="E26" s="8" t="s">
        <v>476</v>
      </c>
      <c r="F26" s="10" t="s">
        <v>1507</v>
      </c>
      <c r="G26" s="10" t="s">
        <v>470</v>
      </c>
      <c r="H26" s="30"/>
      <c r="I26" s="30"/>
      <c r="J26" s="30"/>
      <c r="K26" s="30"/>
    </row>
    <row r="27" spans="1:11" ht="21" customHeight="1" x14ac:dyDescent="0.45">
      <c r="A27" s="29" t="s">
        <v>1087</v>
      </c>
      <c r="B27" s="6" t="s">
        <v>1501</v>
      </c>
      <c r="C27" s="6" t="s">
        <v>1507</v>
      </c>
      <c r="D27" s="8"/>
      <c r="E27" s="8" t="s">
        <v>477</v>
      </c>
      <c r="F27" s="10" t="s">
        <v>1507</v>
      </c>
      <c r="G27" s="10" t="s">
        <v>471</v>
      </c>
      <c r="H27" s="30"/>
      <c r="I27" s="30"/>
      <c r="J27" s="30"/>
      <c r="K27" s="30"/>
    </row>
    <row r="28" spans="1:11" ht="21" customHeight="1" x14ac:dyDescent="0.45">
      <c r="A28" s="29" t="s">
        <v>1088</v>
      </c>
      <c r="B28" s="6" t="s">
        <v>1502</v>
      </c>
      <c r="C28" s="6" t="s">
        <v>1506</v>
      </c>
      <c r="D28" s="8"/>
      <c r="E28" s="8" t="s">
        <v>436</v>
      </c>
      <c r="F28" s="10" t="s">
        <v>1506</v>
      </c>
      <c r="G28" s="10" t="s">
        <v>8</v>
      </c>
      <c r="H28" s="30"/>
      <c r="I28" s="30"/>
      <c r="J28" s="30"/>
      <c r="K28" s="30"/>
    </row>
    <row r="29" spans="1:11" ht="21" customHeight="1" x14ac:dyDescent="0.45">
      <c r="A29" s="29" t="s">
        <v>1089</v>
      </c>
      <c r="B29" s="6" t="s">
        <v>1497</v>
      </c>
      <c r="C29" s="6" t="s">
        <v>1507</v>
      </c>
      <c r="D29" s="8"/>
      <c r="E29" s="8" t="s">
        <v>476</v>
      </c>
      <c r="F29" s="10" t="s">
        <v>1507</v>
      </c>
      <c r="G29" s="10" t="s">
        <v>470</v>
      </c>
      <c r="H29" s="30"/>
      <c r="I29" s="30"/>
      <c r="J29" s="30"/>
      <c r="K29" s="30"/>
    </row>
    <row r="30" spans="1:11" ht="21" customHeight="1" x14ac:dyDescent="0.45">
      <c r="A30" s="29" t="s">
        <v>1090</v>
      </c>
      <c r="B30" s="6" t="s">
        <v>1502</v>
      </c>
      <c r="C30" s="6" t="s">
        <v>1506</v>
      </c>
      <c r="D30" s="8"/>
      <c r="E30" s="8" t="s">
        <v>435</v>
      </c>
      <c r="F30" s="10" t="s">
        <v>1506</v>
      </c>
      <c r="G30" s="10" t="s">
        <v>8</v>
      </c>
      <c r="H30" s="30"/>
      <c r="I30" s="30"/>
      <c r="J30" s="30"/>
      <c r="K30" s="30"/>
    </row>
    <row r="31" spans="1:11" ht="21" customHeight="1" x14ac:dyDescent="0.45">
      <c r="A31" s="29" t="s">
        <v>1091</v>
      </c>
      <c r="B31" s="6" t="s">
        <v>1497</v>
      </c>
      <c r="C31" s="6" t="s">
        <v>1507</v>
      </c>
      <c r="D31" s="8"/>
      <c r="E31" s="8" t="s">
        <v>435</v>
      </c>
      <c r="F31" s="10" t="s">
        <v>1507</v>
      </c>
      <c r="G31" s="10" t="s">
        <v>8</v>
      </c>
      <c r="H31" s="30"/>
      <c r="I31" s="30"/>
      <c r="J31" s="30"/>
      <c r="K31" s="30"/>
    </row>
    <row r="32" spans="1:11" ht="21" customHeight="1" x14ac:dyDescent="0.45">
      <c r="A32" s="29" t="s">
        <v>1092</v>
      </c>
      <c r="B32" s="6" t="s">
        <v>1497</v>
      </c>
      <c r="C32" s="6" t="s">
        <v>1507</v>
      </c>
      <c r="D32" s="8"/>
      <c r="E32" s="8" t="s">
        <v>476</v>
      </c>
      <c r="F32" s="10" t="s">
        <v>1507</v>
      </c>
      <c r="G32" s="10" t="s">
        <v>470</v>
      </c>
      <c r="H32" s="30"/>
      <c r="I32" s="30"/>
      <c r="J32" s="30"/>
      <c r="K32" s="30"/>
    </row>
    <row r="33" spans="1:11" ht="21" customHeight="1" x14ac:dyDescent="0.45">
      <c r="A33" s="29" t="s">
        <v>1093</v>
      </c>
      <c r="B33" s="6" t="s">
        <v>126</v>
      </c>
      <c r="C33" s="6" t="s">
        <v>1506</v>
      </c>
      <c r="D33" s="8"/>
      <c r="E33" s="8" t="s">
        <v>435</v>
      </c>
      <c r="F33" s="10" t="s">
        <v>1506</v>
      </c>
      <c r="G33" s="10" t="s">
        <v>8</v>
      </c>
      <c r="H33" s="30"/>
      <c r="I33" s="30"/>
      <c r="J33" s="30"/>
      <c r="K33" s="30"/>
    </row>
    <row r="34" spans="1:11" ht="21" customHeight="1" x14ac:dyDescent="0.45">
      <c r="A34" s="29" t="s">
        <v>1094</v>
      </c>
      <c r="B34" s="6" t="s">
        <v>1499</v>
      </c>
      <c r="C34" s="6" t="s">
        <v>1506</v>
      </c>
      <c r="D34" s="8"/>
      <c r="E34" s="8" t="s">
        <v>435</v>
      </c>
      <c r="F34" s="10" t="s">
        <v>1506</v>
      </c>
      <c r="G34" s="10" t="s">
        <v>8</v>
      </c>
      <c r="H34" s="30"/>
      <c r="I34" s="30"/>
      <c r="J34" s="30"/>
      <c r="K34" s="30"/>
    </row>
    <row r="35" spans="1:11" ht="21" customHeight="1" x14ac:dyDescent="0.45">
      <c r="A35" s="29" t="s">
        <v>1095</v>
      </c>
      <c r="B35" s="6" t="s">
        <v>1497</v>
      </c>
      <c r="C35" s="6" t="s">
        <v>1507</v>
      </c>
      <c r="D35" s="8"/>
      <c r="E35" s="8" t="s">
        <v>476</v>
      </c>
      <c r="F35" s="10" t="s">
        <v>1507</v>
      </c>
      <c r="G35" s="10" t="s">
        <v>470</v>
      </c>
      <c r="H35" s="30"/>
      <c r="I35" s="30"/>
      <c r="J35" s="30"/>
      <c r="K35" s="30"/>
    </row>
    <row r="36" spans="1:11" ht="21" customHeight="1" x14ac:dyDescent="0.45">
      <c r="A36" s="29" t="s">
        <v>1096</v>
      </c>
      <c r="B36" s="6" t="s">
        <v>126</v>
      </c>
      <c r="C36" s="6" t="s">
        <v>1506</v>
      </c>
      <c r="D36" s="8"/>
      <c r="E36" s="8" t="s">
        <v>435</v>
      </c>
      <c r="F36" s="10" t="s">
        <v>1506</v>
      </c>
      <c r="G36" s="10" t="s">
        <v>8</v>
      </c>
      <c r="H36" s="30"/>
      <c r="I36" s="30"/>
      <c r="J36" s="30"/>
      <c r="K36" s="30"/>
    </row>
    <row r="37" spans="1:11" ht="21" customHeight="1" x14ac:dyDescent="0.45">
      <c r="A37" s="29" t="s">
        <v>1097</v>
      </c>
      <c r="B37" s="6" t="s">
        <v>1500</v>
      </c>
      <c r="C37" s="6" t="s">
        <v>1507</v>
      </c>
      <c r="D37" s="8"/>
      <c r="E37" s="8" t="s">
        <v>477</v>
      </c>
      <c r="F37" s="10" t="s">
        <v>1507</v>
      </c>
      <c r="G37" s="10" t="s">
        <v>471</v>
      </c>
      <c r="H37" s="30"/>
      <c r="I37" s="30"/>
      <c r="J37" s="30"/>
      <c r="K37" s="30"/>
    </row>
    <row r="38" spans="1:11" ht="21" customHeight="1" x14ac:dyDescent="0.45">
      <c r="A38" s="29" t="s">
        <v>1098</v>
      </c>
      <c r="B38" s="6" t="s">
        <v>1499</v>
      </c>
      <c r="C38" s="6" t="s">
        <v>1506</v>
      </c>
      <c r="D38" s="8"/>
      <c r="E38" s="8" t="s">
        <v>436</v>
      </c>
      <c r="F38" s="10" t="s">
        <v>1506</v>
      </c>
      <c r="G38" s="10" t="s">
        <v>8</v>
      </c>
      <c r="H38" s="30"/>
      <c r="I38" s="30"/>
      <c r="J38" s="30"/>
      <c r="K38" s="30"/>
    </row>
    <row r="39" spans="1:11" ht="21" customHeight="1" x14ac:dyDescent="0.45">
      <c r="A39" s="29" t="s">
        <v>1099</v>
      </c>
      <c r="B39" s="6" t="s">
        <v>1498</v>
      </c>
      <c r="C39" s="6" t="s">
        <v>1505</v>
      </c>
      <c r="D39" s="8"/>
      <c r="E39" s="8" t="s">
        <v>435</v>
      </c>
      <c r="F39" s="10" t="s">
        <v>1505</v>
      </c>
      <c r="G39" s="10" t="s">
        <v>8</v>
      </c>
      <c r="H39" s="30"/>
      <c r="I39" s="30"/>
      <c r="J39" s="30"/>
      <c r="K39" s="30"/>
    </row>
    <row r="40" spans="1:11" ht="21" customHeight="1" x14ac:dyDescent="0.45">
      <c r="A40" s="29" t="s">
        <v>1071</v>
      </c>
      <c r="B40" s="6" t="s">
        <v>1501</v>
      </c>
      <c r="C40" s="6" t="s">
        <v>1507</v>
      </c>
      <c r="D40" s="8"/>
      <c r="E40" s="8" t="s">
        <v>477</v>
      </c>
      <c r="F40" s="10" t="s">
        <v>1507</v>
      </c>
      <c r="G40" s="10" t="s">
        <v>471</v>
      </c>
      <c r="H40" s="30"/>
      <c r="I40" s="30"/>
      <c r="J40" s="30"/>
      <c r="K40" s="30"/>
    </row>
    <row r="41" spans="1:11" ht="21" customHeight="1" x14ac:dyDescent="0.45">
      <c r="A41" s="29" t="s">
        <v>1100</v>
      </c>
      <c r="B41" s="6" t="s">
        <v>1499</v>
      </c>
      <c r="C41" s="6" t="s">
        <v>1506</v>
      </c>
      <c r="D41" s="8"/>
      <c r="E41" s="8" t="s">
        <v>435</v>
      </c>
      <c r="F41" s="10" t="s">
        <v>1506</v>
      </c>
      <c r="G41" s="10" t="s">
        <v>8</v>
      </c>
      <c r="H41" s="30"/>
      <c r="I41" s="30"/>
      <c r="J41" s="30"/>
      <c r="K41" s="30"/>
    </row>
    <row r="42" spans="1:11" ht="21" customHeight="1" x14ac:dyDescent="0.45">
      <c r="A42" s="29" t="s">
        <v>1101</v>
      </c>
      <c r="B42" s="6" t="s">
        <v>1499</v>
      </c>
      <c r="C42" s="6" t="s">
        <v>1506</v>
      </c>
      <c r="D42" s="8"/>
      <c r="E42" s="8" t="s">
        <v>435</v>
      </c>
      <c r="F42" s="10" t="s">
        <v>1506</v>
      </c>
      <c r="G42" s="10" t="s">
        <v>8</v>
      </c>
      <c r="H42" s="30"/>
      <c r="I42" s="30"/>
      <c r="J42" s="30"/>
      <c r="K42" s="30"/>
    </row>
    <row r="43" spans="1:11" ht="21" customHeight="1" x14ac:dyDescent="0.45">
      <c r="A43" s="29" t="s">
        <v>1102</v>
      </c>
      <c r="B43" s="6" t="s">
        <v>1500</v>
      </c>
      <c r="C43" s="6" t="s">
        <v>1507</v>
      </c>
      <c r="D43" s="8"/>
      <c r="E43" s="8" t="s">
        <v>477</v>
      </c>
      <c r="F43" s="10" t="s">
        <v>1507</v>
      </c>
      <c r="G43" s="10" t="s">
        <v>471</v>
      </c>
      <c r="H43" s="30"/>
      <c r="I43" s="30"/>
      <c r="J43" s="30"/>
      <c r="K43" s="30"/>
    </row>
    <row r="44" spans="1:11" ht="21" customHeight="1" x14ac:dyDescent="0.45">
      <c r="A44" s="29" t="s">
        <v>1103</v>
      </c>
      <c r="B44" s="6" t="s">
        <v>1503</v>
      </c>
      <c r="C44" s="6" t="s">
        <v>1505</v>
      </c>
      <c r="D44" s="8"/>
      <c r="E44" s="8" t="s">
        <v>477</v>
      </c>
      <c r="F44" s="10" t="s">
        <v>1505</v>
      </c>
      <c r="G44" s="10" t="s">
        <v>471</v>
      </c>
      <c r="H44" s="30"/>
      <c r="I44" s="30"/>
      <c r="J44" s="30"/>
      <c r="K44" s="30"/>
    </row>
    <row r="45" spans="1:11" ht="21" customHeight="1" x14ac:dyDescent="0.45">
      <c r="A45" s="29" t="s">
        <v>1104</v>
      </c>
      <c r="B45" s="6" t="s">
        <v>1503</v>
      </c>
      <c r="C45" s="6" t="s">
        <v>1505</v>
      </c>
      <c r="D45" s="8"/>
      <c r="E45" s="8" t="s">
        <v>435</v>
      </c>
      <c r="F45" s="10" t="s">
        <v>1505</v>
      </c>
      <c r="G45" s="10" t="s">
        <v>8</v>
      </c>
      <c r="H45" s="30"/>
      <c r="I45" s="30"/>
      <c r="J45" s="30"/>
      <c r="K45" s="30"/>
    </row>
    <row r="46" spans="1:11" ht="21" customHeight="1" x14ac:dyDescent="0.45">
      <c r="A46" s="29" t="s">
        <v>1105</v>
      </c>
      <c r="B46" s="6" t="s">
        <v>1498</v>
      </c>
      <c r="C46" s="6" t="s">
        <v>1505</v>
      </c>
      <c r="D46" s="8"/>
      <c r="E46" s="8" t="s">
        <v>476</v>
      </c>
      <c r="F46" s="10" t="s">
        <v>1505</v>
      </c>
      <c r="G46" s="10" t="s">
        <v>470</v>
      </c>
      <c r="H46" s="30"/>
      <c r="I46" s="30"/>
      <c r="J46" s="30"/>
      <c r="K46" s="30"/>
    </row>
    <row r="47" spans="1:11" ht="21" customHeight="1" x14ac:dyDescent="0.45">
      <c r="A47" s="29" t="s">
        <v>1106</v>
      </c>
      <c r="B47" s="6" t="s">
        <v>1499</v>
      </c>
      <c r="C47" s="6" t="s">
        <v>1506</v>
      </c>
      <c r="D47" s="8"/>
      <c r="E47" s="8" t="s">
        <v>436</v>
      </c>
      <c r="F47" s="10" t="s">
        <v>1506</v>
      </c>
      <c r="G47" s="10" t="s">
        <v>8</v>
      </c>
      <c r="H47" s="30"/>
      <c r="I47" s="30"/>
      <c r="J47" s="30"/>
      <c r="K47" s="30"/>
    </row>
    <row r="48" spans="1:11" ht="21" customHeight="1" x14ac:dyDescent="0.45">
      <c r="A48" s="29" t="s">
        <v>1107</v>
      </c>
      <c r="B48" s="6" t="s">
        <v>1499</v>
      </c>
      <c r="C48" s="6" t="s">
        <v>1506</v>
      </c>
      <c r="D48" s="8"/>
      <c r="E48" s="8" t="s">
        <v>436</v>
      </c>
      <c r="F48" s="10" t="s">
        <v>1506</v>
      </c>
      <c r="G48" s="10" t="s">
        <v>471</v>
      </c>
      <c r="H48" s="30"/>
      <c r="I48" s="30"/>
      <c r="J48" s="30"/>
      <c r="K48" s="30"/>
    </row>
    <row r="49" spans="1:11" ht="21" customHeight="1" x14ac:dyDescent="0.45">
      <c r="A49" s="29" t="s">
        <v>1108</v>
      </c>
      <c r="B49" s="6" t="s">
        <v>1500</v>
      </c>
      <c r="C49" s="6" t="s">
        <v>1507</v>
      </c>
      <c r="D49" s="8"/>
      <c r="E49" s="8" t="s">
        <v>476</v>
      </c>
      <c r="F49" s="10" t="s">
        <v>1507</v>
      </c>
      <c r="G49" s="10" t="s">
        <v>8</v>
      </c>
      <c r="H49" s="30"/>
      <c r="I49" s="30"/>
      <c r="J49" s="30"/>
      <c r="K49" s="30"/>
    </row>
    <row r="50" spans="1:11" ht="21" customHeight="1" x14ac:dyDescent="0.45">
      <c r="A50" s="29" t="s">
        <v>1109</v>
      </c>
      <c r="B50" s="6" t="s">
        <v>1504</v>
      </c>
      <c r="C50" s="6" t="s">
        <v>1505</v>
      </c>
      <c r="D50" s="8"/>
      <c r="E50" s="8" t="s">
        <v>476</v>
      </c>
      <c r="F50" s="10" t="s">
        <v>1505</v>
      </c>
      <c r="G50" s="10" t="s">
        <v>8</v>
      </c>
      <c r="H50" s="30"/>
      <c r="I50" s="30"/>
      <c r="J50" s="30"/>
      <c r="K50" s="30"/>
    </row>
    <row r="51" spans="1:11" ht="21" customHeight="1" x14ac:dyDescent="0.45">
      <c r="A51" s="29" t="s">
        <v>1110</v>
      </c>
      <c r="B51" s="6" t="s">
        <v>1502</v>
      </c>
      <c r="C51" s="6" t="s">
        <v>1506</v>
      </c>
      <c r="D51" s="8"/>
      <c r="E51" s="8" t="s">
        <v>435</v>
      </c>
      <c r="F51" s="10" t="s">
        <v>1506</v>
      </c>
      <c r="G51" s="10" t="s">
        <v>8</v>
      </c>
      <c r="H51" s="30"/>
      <c r="I51" s="30"/>
      <c r="J51" s="30"/>
      <c r="K51" s="30"/>
    </row>
    <row r="52" spans="1:11" ht="21" customHeight="1" x14ac:dyDescent="0.45">
      <c r="A52" s="29" t="s">
        <v>1111</v>
      </c>
      <c r="B52" s="6" t="s">
        <v>1497</v>
      </c>
      <c r="C52" s="6" t="s">
        <v>1507</v>
      </c>
      <c r="D52" s="8"/>
      <c r="E52" s="8" t="s">
        <v>476</v>
      </c>
      <c r="F52" s="10" t="s">
        <v>1507</v>
      </c>
      <c r="G52" s="10" t="s">
        <v>470</v>
      </c>
      <c r="H52" s="30"/>
      <c r="I52" s="30"/>
      <c r="J52" s="30"/>
      <c r="K52" s="30"/>
    </row>
    <row r="53" spans="1:11" ht="21" customHeight="1" x14ac:dyDescent="0.45">
      <c r="A53" s="29" t="s">
        <v>1112</v>
      </c>
      <c r="B53" s="6" t="s">
        <v>1499</v>
      </c>
      <c r="C53" s="6" t="s">
        <v>1506</v>
      </c>
      <c r="D53" s="8"/>
      <c r="E53" s="8" t="s">
        <v>435</v>
      </c>
      <c r="F53" s="10" t="s">
        <v>1506</v>
      </c>
      <c r="G53" s="10" t="s">
        <v>470</v>
      </c>
      <c r="H53" s="30"/>
      <c r="I53" s="30"/>
      <c r="J53" s="30"/>
      <c r="K53" s="30"/>
    </row>
    <row r="54" spans="1:11" ht="21" customHeight="1" x14ac:dyDescent="0.45">
      <c r="A54" s="29" t="s">
        <v>1113</v>
      </c>
      <c r="B54" s="6" t="s">
        <v>1499</v>
      </c>
      <c r="C54" s="6" t="s">
        <v>1506</v>
      </c>
      <c r="D54" s="8"/>
      <c r="E54" s="8" t="s">
        <v>436</v>
      </c>
      <c r="F54" s="10" t="s">
        <v>1506</v>
      </c>
      <c r="G54" s="10" t="s">
        <v>8</v>
      </c>
      <c r="H54" s="30"/>
      <c r="I54" s="30"/>
      <c r="J54" s="30"/>
      <c r="K54" s="30"/>
    </row>
    <row r="55" spans="1:11" ht="21" customHeight="1" x14ac:dyDescent="0.45">
      <c r="A55" s="29" t="s">
        <v>1114</v>
      </c>
      <c r="B55" s="6" t="s">
        <v>1497</v>
      </c>
      <c r="C55" s="6" t="s">
        <v>1507</v>
      </c>
      <c r="D55" s="8"/>
      <c r="E55" s="8" t="s">
        <v>476</v>
      </c>
      <c r="F55" s="10" t="s">
        <v>1507</v>
      </c>
      <c r="G55" s="10" t="s">
        <v>470</v>
      </c>
      <c r="H55" s="30"/>
      <c r="I55" s="30"/>
      <c r="J55" s="30"/>
      <c r="K55" s="30"/>
    </row>
    <row r="56" spans="1:11" ht="21" customHeight="1" x14ac:dyDescent="0.45">
      <c r="A56" s="29" t="s">
        <v>1115</v>
      </c>
      <c r="B56" s="6" t="s">
        <v>1504</v>
      </c>
      <c r="C56" s="6" t="s">
        <v>1505</v>
      </c>
      <c r="D56" s="8"/>
      <c r="E56" s="8" t="s">
        <v>476</v>
      </c>
      <c r="F56" s="10" t="s">
        <v>1505</v>
      </c>
      <c r="G56" s="10" t="s">
        <v>8</v>
      </c>
      <c r="H56" s="30"/>
      <c r="I56" s="30"/>
      <c r="J56" s="30"/>
      <c r="K56" s="30"/>
    </row>
    <row r="57" spans="1:11" ht="21" customHeight="1" x14ac:dyDescent="0.45">
      <c r="A57" s="29" t="s">
        <v>1116</v>
      </c>
      <c r="B57" s="6" t="s">
        <v>1504</v>
      </c>
      <c r="C57" s="6" t="s">
        <v>1505</v>
      </c>
      <c r="D57" s="8"/>
      <c r="E57" s="8" t="s">
        <v>435</v>
      </c>
      <c r="F57" s="10" t="s">
        <v>1505</v>
      </c>
      <c r="G57" s="10" t="s">
        <v>8</v>
      </c>
      <c r="H57" s="30"/>
      <c r="I57" s="30"/>
      <c r="J57" s="30"/>
      <c r="K57" s="30"/>
    </row>
    <row r="58" spans="1:11" ht="21" customHeight="1" x14ac:dyDescent="0.45">
      <c r="A58" s="29" t="s">
        <v>1117</v>
      </c>
      <c r="B58" s="6" t="s">
        <v>1504</v>
      </c>
      <c r="C58" s="6" t="s">
        <v>1505</v>
      </c>
      <c r="D58" s="8"/>
      <c r="E58" s="8" t="s">
        <v>435</v>
      </c>
      <c r="F58" s="10" t="s">
        <v>1505</v>
      </c>
      <c r="G58" s="10" t="s">
        <v>8</v>
      </c>
      <c r="H58" s="30"/>
      <c r="I58" s="30"/>
      <c r="J58" s="30"/>
      <c r="K58" s="30"/>
    </row>
    <row r="59" spans="1:11" ht="21" customHeight="1" x14ac:dyDescent="0.45">
      <c r="A59" s="29" t="s">
        <v>1118</v>
      </c>
      <c r="B59" s="6" t="s">
        <v>126</v>
      </c>
      <c r="C59" s="6" t="s">
        <v>1506</v>
      </c>
      <c r="D59" s="8"/>
      <c r="E59" s="8" t="s">
        <v>435</v>
      </c>
      <c r="F59" s="10" t="s">
        <v>1506</v>
      </c>
      <c r="G59" s="10" t="s">
        <v>8</v>
      </c>
      <c r="H59" s="30"/>
      <c r="I59" s="30"/>
      <c r="J59" s="30"/>
      <c r="K59" s="30"/>
    </row>
    <row r="60" spans="1:11" ht="21" customHeight="1" x14ac:dyDescent="0.45">
      <c r="A60" s="29" t="s">
        <v>1119</v>
      </c>
      <c r="B60" s="6" t="s">
        <v>1498</v>
      </c>
      <c r="C60" s="6" t="s">
        <v>1505</v>
      </c>
      <c r="D60" s="8"/>
      <c r="E60" s="8" t="s">
        <v>476</v>
      </c>
      <c r="F60" s="10" t="s">
        <v>1505</v>
      </c>
      <c r="G60" s="10" t="s">
        <v>8</v>
      </c>
      <c r="H60" s="30"/>
      <c r="I60" s="30"/>
      <c r="J60" s="30"/>
      <c r="K60" s="30"/>
    </row>
    <row r="61" spans="1:11" ht="21" customHeight="1" x14ac:dyDescent="0.45">
      <c r="A61" s="29" t="s">
        <v>1120</v>
      </c>
      <c r="B61" s="6" t="s">
        <v>1497</v>
      </c>
      <c r="C61" s="6" t="s">
        <v>1507</v>
      </c>
      <c r="D61" s="8"/>
      <c r="E61" s="8" t="s">
        <v>436</v>
      </c>
      <c r="F61" s="10" t="s">
        <v>1507</v>
      </c>
      <c r="G61" s="10" t="s">
        <v>8</v>
      </c>
      <c r="H61" s="30"/>
      <c r="I61" s="30"/>
      <c r="J61" s="30"/>
      <c r="K61" s="30"/>
    </row>
    <row r="62" spans="1:11" ht="21" customHeight="1" x14ac:dyDescent="0.45">
      <c r="A62" s="29" t="s">
        <v>1121</v>
      </c>
      <c r="B62" s="6" t="s">
        <v>1497</v>
      </c>
      <c r="C62" s="6" t="s">
        <v>1507</v>
      </c>
      <c r="D62" s="8"/>
      <c r="E62" s="8" t="s">
        <v>476</v>
      </c>
      <c r="F62" s="10" t="s">
        <v>1507</v>
      </c>
      <c r="G62" s="10" t="s">
        <v>470</v>
      </c>
      <c r="H62" s="30"/>
      <c r="I62" s="30"/>
      <c r="J62" s="30"/>
      <c r="K62" s="30"/>
    </row>
    <row r="63" spans="1:11" ht="21" customHeight="1" x14ac:dyDescent="0.45">
      <c r="A63" s="29" t="s">
        <v>1122</v>
      </c>
      <c r="B63" s="6" t="s">
        <v>1497</v>
      </c>
      <c r="C63" s="6" t="s">
        <v>1507</v>
      </c>
      <c r="D63" s="8"/>
      <c r="E63" s="8" t="s">
        <v>476</v>
      </c>
      <c r="F63" s="10" t="s">
        <v>1507</v>
      </c>
      <c r="G63" s="10" t="s">
        <v>470</v>
      </c>
      <c r="H63" s="30"/>
      <c r="I63" s="30"/>
      <c r="J63" s="30"/>
      <c r="K63" s="30"/>
    </row>
    <row r="64" spans="1:11" ht="21" customHeight="1" x14ac:dyDescent="0.45">
      <c r="A64" s="29" t="s">
        <v>1123</v>
      </c>
      <c r="B64" s="6" t="s">
        <v>1500</v>
      </c>
      <c r="C64" s="6" t="s">
        <v>1507</v>
      </c>
      <c r="D64" s="8"/>
      <c r="E64" s="8" t="s">
        <v>477</v>
      </c>
      <c r="F64" s="10" t="s">
        <v>1507</v>
      </c>
      <c r="G64" s="10" t="s">
        <v>471</v>
      </c>
      <c r="H64" s="30"/>
      <c r="I64" s="30"/>
      <c r="J64" s="30"/>
      <c r="K64" s="30"/>
    </row>
    <row r="65" spans="1:11" ht="21" customHeight="1" x14ac:dyDescent="0.45">
      <c r="A65" s="29" t="s">
        <v>1124</v>
      </c>
      <c r="B65" s="6" t="s">
        <v>1504</v>
      </c>
      <c r="C65" s="6" t="s">
        <v>1505</v>
      </c>
      <c r="D65" s="8"/>
      <c r="E65" s="8" t="s">
        <v>435</v>
      </c>
      <c r="F65" s="10" t="s">
        <v>1505</v>
      </c>
      <c r="G65" s="10" t="s">
        <v>8</v>
      </c>
      <c r="H65" s="30"/>
      <c r="I65" s="30"/>
      <c r="J65" s="30"/>
      <c r="K65" s="30"/>
    </row>
    <row r="66" spans="1:11" ht="21" customHeight="1" x14ac:dyDescent="0.45">
      <c r="A66" s="29" t="s">
        <v>1125</v>
      </c>
      <c r="B66" s="6" t="s">
        <v>1502</v>
      </c>
      <c r="C66" s="6" t="s">
        <v>1506</v>
      </c>
      <c r="D66" s="8"/>
      <c r="E66" s="8" t="s">
        <v>435</v>
      </c>
      <c r="F66" s="10" t="s">
        <v>1506</v>
      </c>
      <c r="G66" s="10" t="s">
        <v>8</v>
      </c>
      <c r="H66" s="30"/>
      <c r="I66" s="30"/>
      <c r="J66" s="30"/>
      <c r="K66" s="30"/>
    </row>
    <row r="67" spans="1:11" ht="21" customHeight="1" x14ac:dyDescent="0.45">
      <c r="A67" s="29" t="s">
        <v>1126</v>
      </c>
      <c r="B67" s="6" t="s">
        <v>1497</v>
      </c>
      <c r="C67" s="6" t="s">
        <v>1507</v>
      </c>
      <c r="D67" s="8"/>
      <c r="E67" s="8" t="s">
        <v>476</v>
      </c>
      <c r="F67" s="10" t="s">
        <v>1507</v>
      </c>
      <c r="G67" s="10" t="s">
        <v>470</v>
      </c>
      <c r="H67" s="30"/>
      <c r="I67" s="30"/>
      <c r="J67" s="30"/>
      <c r="K67" s="30"/>
    </row>
    <row r="68" spans="1:11" ht="21" customHeight="1" x14ac:dyDescent="0.45">
      <c r="A68" s="29" t="s">
        <v>1127</v>
      </c>
      <c r="B68" s="6" t="s">
        <v>1497</v>
      </c>
      <c r="C68" s="6" t="s">
        <v>1507</v>
      </c>
      <c r="D68" s="8"/>
      <c r="E68" s="8" t="s">
        <v>476</v>
      </c>
      <c r="F68" s="10" t="s">
        <v>1507</v>
      </c>
      <c r="G68" s="10" t="s">
        <v>470</v>
      </c>
      <c r="H68" s="30"/>
      <c r="I68" s="30"/>
      <c r="J68" s="30"/>
      <c r="K68" s="30"/>
    </row>
    <row r="69" spans="1:11" ht="21" customHeight="1" x14ac:dyDescent="0.45">
      <c r="A69" s="29" t="s">
        <v>1128</v>
      </c>
      <c r="B69" s="6" t="s">
        <v>1499</v>
      </c>
      <c r="C69" s="6" t="s">
        <v>1506</v>
      </c>
      <c r="D69" s="8"/>
      <c r="E69" s="8" t="s">
        <v>436</v>
      </c>
      <c r="F69" s="10" t="s">
        <v>1506</v>
      </c>
      <c r="G69" s="10" t="s">
        <v>471</v>
      </c>
      <c r="H69" s="30"/>
      <c r="I69" s="30"/>
      <c r="J69" s="30"/>
      <c r="K69" s="30"/>
    </row>
    <row r="70" spans="1:11" ht="21" customHeight="1" x14ac:dyDescent="0.45">
      <c r="A70" s="29" t="s">
        <v>1129</v>
      </c>
      <c r="B70" s="6" t="s">
        <v>1498</v>
      </c>
      <c r="C70" s="6" t="s">
        <v>1505</v>
      </c>
      <c r="D70" s="8"/>
      <c r="E70" s="8" t="s">
        <v>476</v>
      </c>
      <c r="F70" s="10" t="s">
        <v>1505</v>
      </c>
      <c r="G70" s="10" t="s">
        <v>470</v>
      </c>
      <c r="H70" s="30"/>
      <c r="I70" s="30"/>
      <c r="J70" s="30"/>
      <c r="K70" s="30"/>
    </row>
    <row r="71" spans="1:11" ht="21" customHeight="1" x14ac:dyDescent="0.45">
      <c r="A71" s="29" t="s">
        <v>1130</v>
      </c>
      <c r="B71" s="6" t="s">
        <v>1501</v>
      </c>
      <c r="C71" s="6" t="s">
        <v>1507</v>
      </c>
      <c r="D71" s="8"/>
      <c r="E71" s="8" t="s">
        <v>477</v>
      </c>
      <c r="F71" s="10" t="s">
        <v>1507</v>
      </c>
      <c r="G71" s="10" t="s">
        <v>471</v>
      </c>
      <c r="H71" s="30"/>
      <c r="I71" s="30"/>
      <c r="J71" s="30"/>
      <c r="K71" s="30"/>
    </row>
    <row r="72" spans="1:11" ht="21" customHeight="1" x14ac:dyDescent="0.45">
      <c r="A72" s="29" t="s">
        <v>1131</v>
      </c>
      <c r="B72" s="6" t="s">
        <v>1232</v>
      </c>
      <c r="C72" s="6" t="s">
        <v>1505</v>
      </c>
      <c r="D72" s="8"/>
      <c r="E72" s="8" t="s">
        <v>477</v>
      </c>
      <c r="F72" s="10" t="s">
        <v>1505</v>
      </c>
      <c r="G72" s="10" t="s">
        <v>8</v>
      </c>
      <c r="H72" s="30"/>
      <c r="I72" s="30"/>
      <c r="J72" s="30"/>
      <c r="K72" s="30"/>
    </row>
    <row r="73" spans="1:11" ht="21" customHeight="1" x14ac:dyDescent="0.45">
      <c r="A73" s="29" t="s">
        <v>1132</v>
      </c>
      <c r="B73" s="6" t="s">
        <v>1497</v>
      </c>
      <c r="C73" s="6" t="s">
        <v>1507</v>
      </c>
      <c r="D73" s="8"/>
      <c r="E73" s="8" t="s">
        <v>476</v>
      </c>
      <c r="F73" s="10" t="s">
        <v>1507</v>
      </c>
      <c r="G73" s="10" t="s">
        <v>470</v>
      </c>
      <c r="H73" s="30"/>
      <c r="I73" s="30"/>
      <c r="J73" s="30"/>
      <c r="K73" s="30"/>
    </row>
    <row r="74" spans="1:11" ht="21" customHeight="1" x14ac:dyDescent="0.45">
      <c r="A74" s="29" t="s">
        <v>1133</v>
      </c>
      <c r="B74" s="6" t="s">
        <v>1497</v>
      </c>
      <c r="C74" s="6" t="s">
        <v>1507</v>
      </c>
      <c r="D74" s="8"/>
      <c r="E74" s="8" t="s">
        <v>435</v>
      </c>
      <c r="F74" s="10" t="s">
        <v>1507</v>
      </c>
      <c r="G74" s="10" t="s">
        <v>470</v>
      </c>
      <c r="H74" s="30"/>
      <c r="I74" s="30"/>
      <c r="J74" s="30"/>
      <c r="K74" s="30"/>
    </row>
    <row r="75" spans="1:11" ht="21" customHeight="1" x14ac:dyDescent="0.45">
      <c r="A75" s="29" t="s">
        <v>1121</v>
      </c>
      <c r="B75" s="6" t="s">
        <v>1497</v>
      </c>
      <c r="C75" s="6" t="s">
        <v>1507</v>
      </c>
      <c r="D75" s="8"/>
      <c r="E75" s="8" t="s">
        <v>476</v>
      </c>
      <c r="F75" s="10" t="s">
        <v>1507</v>
      </c>
      <c r="G75" s="10" t="s">
        <v>470</v>
      </c>
      <c r="H75" s="30"/>
      <c r="I75" s="30"/>
      <c r="J75" s="30"/>
      <c r="K75" s="30"/>
    </row>
    <row r="76" spans="1:11" ht="21" customHeight="1" x14ac:dyDescent="0.45">
      <c r="A76" s="29" t="s">
        <v>1134</v>
      </c>
      <c r="B76" s="6" t="s">
        <v>1497</v>
      </c>
      <c r="C76" s="6" t="s">
        <v>1507</v>
      </c>
      <c r="D76" s="8"/>
      <c r="E76" s="8" t="s">
        <v>476</v>
      </c>
      <c r="F76" s="10" t="s">
        <v>1507</v>
      </c>
      <c r="G76" s="10" t="s">
        <v>470</v>
      </c>
      <c r="H76" s="30"/>
      <c r="I76" s="30"/>
      <c r="J76" s="30"/>
      <c r="K76" s="30"/>
    </row>
    <row r="77" spans="1:11" ht="21" customHeight="1" x14ac:dyDescent="0.45">
      <c r="A77" s="29" t="s">
        <v>1135</v>
      </c>
      <c r="B77" s="6" t="s">
        <v>126</v>
      </c>
      <c r="C77" s="6" t="s">
        <v>1506</v>
      </c>
      <c r="D77" s="8"/>
      <c r="E77" s="8" t="s">
        <v>435</v>
      </c>
      <c r="F77" s="10" t="s">
        <v>1506</v>
      </c>
      <c r="G77" s="10" t="s">
        <v>8</v>
      </c>
      <c r="H77" s="30"/>
      <c r="I77" s="30"/>
      <c r="J77" s="30"/>
      <c r="K77" s="30"/>
    </row>
    <row r="78" spans="1:11" ht="21" customHeight="1" x14ac:dyDescent="0.45">
      <c r="A78" s="29" t="s">
        <v>1136</v>
      </c>
      <c r="B78" s="6" t="s">
        <v>1498</v>
      </c>
      <c r="C78" s="6" t="s">
        <v>1505</v>
      </c>
      <c r="D78" s="8"/>
      <c r="E78" s="8" t="s">
        <v>435</v>
      </c>
      <c r="F78" s="10" t="s">
        <v>1505</v>
      </c>
      <c r="G78" s="10" t="s">
        <v>8</v>
      </c>
      <c r="H78" s="30"/>
      <c r="I78" s="30"/>
      <c r="J78" s="30"/>
      <c r="K78" s="30"/>
    </row>
    <row r="79" spans="1:11" ht="21" customHeight="1" x14ac:dyDescent="0.45">
      <c r="A79" s="29" t="s">
        <v>1137</v>
      </c>
      <c r="B79" s="6" t="s">
        <v>126</v>
      </c>
      <c r="C79" s="6" t="s">
        <v>1506</v>
      </c>
      <c r="D79" s="8"/>
      <c r="E79" s="8" t="s">
        <v>435</v>
      </c>
      <c r="F79" s="10" t="s">
        <v>1506</v>
      </c>
      <c r="G79" s="10" t="s">
        <v>8</v>
      </c>
      <c r="H79" s="30"/>
      <c r="I79" s="30"/>
      <c r="J79" s="30"/>
      <c r="K79" s="30"/>
    </row>
    <row r="80" spans="1:11" ht="21" customHeight="1" x14ac:dyDescent="0.45">
      <c r="A80" s="29" t="s">
        <v>1138</v>
      </c>
      <c r="B80" s="6" t="s">
        <v>1500</v>
      </c>
      <c r="C80" s="6" t="s">
        <v>1507</v>
      </c>
      <c r="D80" s="8"/>
      <c r="E80" s="8" t="s">
        <v>435</v>
      </c>
      <c r="F80" s="10" t="s">
        <v>1507</v>
      </c>
      <c r="G80" s="10" t="s">
        <v>471</v>
      </c>
      <c r="H80" s="30"/>
      <c r="I80" s="30"/>
      <c r="J80" s="30"/>
      <c r="K80" s="30"/>
    </row>
    <row r="81" spans="1:7" ht="21" customHeight="1" x14ac:dyDescent="0.45">
      <c r="A81" s="49"/>
      <c r="B81" s="49"/>
      <c r="C81" s="49"/>
      <c r="D81" s="49"/>
      <c r="E81" s="49"/>
      <c r="F81" s="49"/>
      <c r="G81" s="49"/>
    </row>
    <row r="82" spans="1:7" ht="21" customHeight="1" x14ac:dyDescent="0.45">
      <c r="A82" s="49"/>
      <c r="B82" s="49"/>
      <c r="C82" s="49"/>
      <c r="D82" s="49"/>
      <c r="E82" s="49"/>
      <c r="F82" s="49"/>
      <c r="G82" s="49"/>
    </row>
    <row r="83" spans="1:7" ht="21" customHeight="1" x14ac:dyDescent="0.45">
      <c r="A83" s="49"/>
      <c r="B83" s="49"/>
      <c r="C83" s="49"/>
      <c r="D83" s="49"/>
      <c r="E83" s="49"/>
      <c r="F83" s="49"/>
      <c r="G83" s="49"/>
    </row>
  </sheetData>
  <mergeCells count="3">
    <mergeCell ref="B2:C2"/>
    <mergeCell ref="D2:E2"/>
    <mergeCell ref="I10:J10"/>
  </mergeCells>
  <pageMargins left="0.7" right="0.7" top="0.78740157499999996" bottom="0.78740157499999996"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16A12-50E9-47D6-AD89-F359864A16B8}">
  <dimension ref="A1:M83"/>
  <sheetViews>
    <sheetView zoomScale="70" zoomScaleNormal="70" workbookViewId="0">
      <selection activeCell="A4" sqref="A4"/>
    </sheetView>
  </sheetViews>
  <sheetFormatPr baseColWidth="10" defaultRowHeight="14.25" x14ac:dyDescent="0.45"/>
  <cols>
    <col min="1" max="1" width="57.73046875" customWidth="1"/>
    <col min="2" max="2" width="20.9296875" customWidth="1"/>
    <col min="3" max="3" width="12.796875" style="50" customWidth="1"/>
    <col min="4" max="4" width="25.265625" customWidth="1"/>
    <col min="5" max="5" width="30.796875" customWidth="1"/>
    <col min="6" max="6" width="20.53125" customWidth="1"/>
    <col min="7" max="7" width="27.59765625" customWidth="1"/>
    <col min="8" max="8" width="42" customWidth="1"/>
    <col min="9" max="9" width="18.73046875" customWidth="1"/>
    <col min="11" max="11" width="14.06640625" customWidth="1"/>
    <col min="12" max="12" width="41.33203125" customWidth="1"/>
  </cols>
  <sheetData>
    <row r="1" spans="1:13" ht="54" customHeight="1" x14ac:dyDescent="0.45">
      <c r="A1" s="37" t="s">
        <v>127</v>
      </c>
      <c r="B1" s="37"/>
      <c r="C1" s="30"/>
      <c r="D1" s="30"/>
      <c r="E1" s="30"/>
      <c r="F1" s="30"/>
      <c r="G1" s="30"/>
      <c r="H1" s="30"/>
      <c r="I1" s="30"/>
      <c r="J1" s="30"/>
      <c r="K1" s="30"/>
      <c r="L1" s="30"/>
      <c r="M1" s="30"/>
    </row>
    <row r="2" spans="1:13" ht="26.65" customHeight="1" x14ac:dyDescent="0.85">
      <c r="A2" s="30"/>
      <c r="B2" s="65" t="s">
        <v>478</v>
      </c>
      <c r="C2" s="65" t="s">
        <v>468</v>
      </c>
      <c r="D2" s="61" t="s">
        <v>451</v>
      </c>
      <c r="E2" s="61"/>
      <c r="F2" s="62" t="s">
        <v>452</v>
      </c>
      <c r="G2" s="62"/>
      <c r="H2" s="28" t="s">
        <v>457</v>
      </c>
      <c r="I2" s="28"/>
      <c r="J2" s="30"/>
      <c r="K2" s="15" t="s">
        <v>457</v>
      </c>
      <c r="L2" s="15"/>
      <c r="M2" s="31"/>
    </row>
    <row r="3" spans="1:13" ht="21" customHeight="1" x14ac:dyDescent="0.55000000000000004">
      <c r="A3" s="13" t="s">
        <v>1</v>
      </c>
      <c r="B3" s="65"/>
      <c r="C3" s="65"/>
      <c r="D3" s="12" t="s">
        <v>453</v>
      </c>
      <c r="E3" s="12" t="s">
        <v>454</v>
      </c>
      <c r="F3" s="11" t="s">
        <v>455</v>
      </c>
      <c r="G3" s="11" t="s">
        <v>456</v>
      </c>
      <c r="H3" s="14" t="s">
        <v>143</v>
      </c>
      <c r="I3" s="14" t="s">
        <v>4</v>
      </c>
      <c r="J3" s="30"/>
      <c r="K3" s="14" t="s">
        <v>5</v>
      </c>
      <c r="L3" s="14" t="s">
        <v>143</v>
      </c>
      <c r="M3" s="32"/>
    </row>
    <row r="4" spans="1:13" ht="21" customHeight="1" x14ac:dyDescent="0.45">
      <c r="A4" s="29" t="s">
        <v>1139</v>
      </c>
      <c r="B4" s="39" t="s">
        <v>473</v>
      </c>
      <c r="C4" s="39" t="s">
        <v>466</v>
      </c>
      <c r="D4" s="6" t="s">
        <v>128</v>
      </c>
      <c r="E4" s="6" t="s">
        <v>128</v>
      </c>
      <c r="F4" s="8" t="s">
        <v>449</v>
      </c>
      <c r="G4" s="8" t="s">
        <v>437</v>
      </c>
      <c r="H4" s="10" t="s">
        <v>128</v>
      </c>
      <c r="I4" s="10" t="s">
        <v>471</v>
      </c>
      <c r="J4" s="30"/>
      <c r="K4" s="43">
        <f>COUNTIF(Tabelle12265397112116120129137141149153157[[#All],[Merged Theme]],Tabelle10951259109113117126134138146150154[[#This Row],[Merged Theme]])</f>
        <v>14</v>
      </c>
      <c r="L4" s="45" t="s">
        <v>1496</v>
      </c>
      <c r="M4" s="9"/>
    </row>
    <row r="5" spans="1:13" s="47" customFormat="1" ht="21" customHeight="1" x14ac:dyDescent="0.45">
      <c r="A5" s="29" t="s">
        <v>1177</v>
      </c>
      <c r="B5" s="39" t="s">
        <v>473</v>
      </c>
      <c r="C5" s="39" t="s">
        <v>466</v>
      </c>
      <c r="D5" s="6" t="s">
        <v>1492</v>
      </c>
      <c r="E5" s="6" t="s">
        <v>1496</v>
      </c>
      <c r="F5" s="8" t="s">
        <v>449</v>
      </c>
      <c r="G5" s="42" t="s">
        <v>479</v>
      </c>
      <c r="H5" s="43" t="s">
        <v>1496</v>
      </c>
      <c r="I5" s="10" t="s">
        <v>8</v>
      </c>
      <c r="J5" s="44"/>
      <c r="K5" s="43">
        <f>COUNTIF(Tabelle12265397112116120129137141149153157[[#All],[Merged Theme]],Tabelle10951259109113117126134138146150154[[#This Row],[Merged Theme]])</f>
        <v>14</v>
      </c>
      <c r="L5" s="45" t="s">
        <v>128</v>
      </c>
      <c r="M5" s="46"/>
    </row>
    <row r="6" spans="1:13" ht="21" customHeight="1" x14ac:dyDescent="0.45">
      <c r="A6" s="29" t="s">
        <v>1140</v>
      </c>
      <c r="B6" s="39" t="s">
        <v>467</v>
      </c>
      <c r="C6" s="39" t="s">
        <v>466</v>
      </c>
      <c r="D6" s="6" t="s">
        <v>128</v>
      </c>
      <c r="E6" s="6" t="s">
        <v>128</v>
      </c>
      <c r="F6" s="8" t="s">
        <v>449</v>
      </c>
      <c r="G6" s="8" t="s">
        <v>437</v>
      </c>
      <c r="H6" s="10" t="s">
        <v>128</v>
      </c>
      <c r="I6" s="10" t="s">
        <v>8</v>
      </c>
      <c r="J6" s="30"/>
      <c r="K6" s="43">
        <f>COUNTIF(Tabelle12265397112116120129137141149153157[[#All],[Merged Theme]],Tabelle10951259109113117126134138146150154[[#This Row],[Merged Theme]])</f>
        <v>11</v>
      </c>
      <c r="L6" s="45" t="s">
        <v>1494</v>
      </c>
      <c r="M6" s="9"/>
    </row>
    <row r="7" spans="1:13" ht="21" customHeight="1" x14ac:dyDescent="0.45">
      <c r="A7" s="29" t="s">
        <v>1141</v>
      </c>
      <c r="B7" s="39" t="s">
        <v>467</v>
      </c>
      <c r="C7" s="39" t="s">
        <v>466</v>
      </c>
      <c r="D7" s="6" t="s">
        <v>1493</v>
      </c>
      <c r="E7" s="6" t="s">
        <v>1496</v>
      </c>
      <c r="F7" s="8" t="s">
        <v>449</v>
      </c>
      <c r="G7" s="8" t="s">
        <v>438</v>
      </c>
      <c r="H7" s="10" t="s">
        <v>1496</v>
      </c>
      <c r="I7" s="10" t="s">
        <v>8</v>
      </c>
      <c r="J7" s="30"/>
      <c r="K7" s="17">
        <f>SUM(Tabelle10951259109113117126134138146150154[Mentions])</f>
        <v>39</v>
      </c>
      <c r="L7" s="18"/>
      <c r="M7" s="9"/>
    </row>
    <row r="8" spans="1:13" ht="21" customHeight="1" x14ac:dyDescent="0.45">
      <c r="A8" s="29" t="s">
        <v>1142</v>
      </c>
      <c r="B8" s="39" t="s">
        <v>467</v>
      </c>
      <c r="C8" s="39" t="s">
        <v>466</v>
      </c>
      <c r="D8" s="6" t="s">
        <v>1493</v>
      </c>
      <c r="E8" s="6" t="s">
        <v>1496</v>
      </c>
      <c r="F8" s="8" t="s">
        <v>449</v>
      </c>
      <c r="G8" s="8" t="s">
        <v>438</v>
      </c>
      <c r="H8" s="10" t="s">
        <v>1496</v>
      </c>
      <c r="I8" s="10" t="s">
        <v>8</v>
      </c>
      <c r="J8" s="30"/>
      <c r="K8" s="30"/>
      <c r="L8" s="30"/>
      <c r="M8" s="9"/>
    </row>
    <row r="9" spans="1:13" ht="21" customHeight="1" x14ac:dyDescent="0.45">
      <c r="A9" s="29" t="s">
        <v>1143</v>
      </c>
      <c r="B9" s="39" t="s">
        <v>467</v>
      </c>
      <c r="C9" s="39" t="s">
        <v>466</v>
      </c>
      <c r="D9" s="6" t="s">
        <v>128</v>
      </c>
      <c r="E9" s="6" t="s">
        <v>128</v>
      </c>
      <c r="F9" s="8" t="s">
        <v>449</v>
      </c>
      <c r="G9" s="8" t="s">
        <v>437</v>
      </c>
      <c r="H9" s="10" t="s">
        <v>128</v>
      </c>
      <c r="I9" s="10" t="s">
        <v>471</v>
      </c>
      <c r="J9" s="30"/>
      <c r="K9" s="30"/>
      <c r="L9" s="30"/>
      <c r="M9" s="33"/>
    </row>
    <row r="10" spans="1:13" ht="21" customHeight="1" x14ac:dyDescent="0.65">
      <c r="A10" s="29" t="s">
        <v>1144</v>
      </c>
      <c r="B10" s="39" t="s">
        <v>207</v>
      </c>
      <c r="C10" s="39" t="s">
        <v>466</v>
      </c>
      <c r="D10" s="6" t="s">
        <v>1494</v>
      </c>
      <c r="E10" s="6" t="s">
        <v>1494</v>
      </c>
      <c r="F10" s="8" t="s">
        <v>449</v>
      </c>
      <c r="G10" s="8" t="s">
        <v>438</v>
      </c>
      <c r="H10" s="10" t="s">
        <v>1494</v>
      </c>
      <c r="I10" s="10" t="s">
        <v>8</v>
      </c>
      <c r="J10" s="30"/>
      <c r="K10" s="63" t="s">
        <v>451</v>
      </c>
      <c r="L10" s="63"/>
      <c r="M10" s="9"/>
    </row>
    <row r="11" spans="1:13" ht="21" customHeight="1" x14ac:dyDescent="0.55000000000000004">
      <c r="A11" s="29" t="s">
        <v>1145</v>
      </c>
      <c r="B11" s="39" t="s">
        <v>473</v>
      </c>
      <c r="C11" s="39" t="s">
        <v>466</v>
      </c>
      <c r="D11" s="6" t="s">
        <v>128</v>
      </c>
      <c r="E11" s="6" t="s">
        <v>128</v>
      </c>
      <c r="F11" s="8" t="s">
        <v>449</v>
      </c>
      <c r="G11" s="8" t="s">
        <v>439</v>
      </c>
      <c r="H11" s="10" t="s">
        <v>128</v>
      </c>
      <c r="I11" s="10" t="s">
        <v>8</v>
      </c>
      <c r="J11" s="30"/>
      <c r="K11" s="23" t="s">
        <v>5</v>
      </c>
      <c r="L11" s="22" t="s">
        <v>3</v>
      </c>
      <c r="M11" s="9"/>
    </row>
    <row r="12" spans="1:13" ht="21" customHeight="1" x14ac:dyDescent="0.65">
      <c r="A12" s="29" t="s">
        <v>1146</v>
      </c>
      <c r="B12" s="39" t="s">
        <v>473</v>
      </c>
      <c r="C12" s="39" t="s">
        <v>465</v>
      </c>
      <c r="D12" s="6" t="s">
        <v>1492</v>
      </c>
      <c r="E12" s="6" t="s">
        <v>1496</v>
      </c>
      <c r="F12" s="8" t="s">
        <v>449</v>
      </c>
      <c r="G12" s="8" t="s">
        <v>437</v>
      </c>
      <c r="H12" s="10" t="s">
        <v>1496</v>
      </c>
      <c r="I12" s="10" t="s">
        <v>470</v>
      </c>
      <c r="J12" s="30"/>
      <c r="K12" s="6">
        <f>COUNTIF(Tabelle12265397112116120129137141149153157[A - Theme],Tabelle10911152394110114118127135139147151155[[#This Row],[Theme]])</f>
        <v>14</v>
      </c>
      <c r="L12" s="38" t="s">
        <v>1496</v>
      </c>
      <c r="M12" s="31"/>
    </row>
    <row r="13" spans="1:13" ht="21" customHeight="1" x14ac:dyDescent="0.55000000000000004">
      <c r="A13" s="29" t="s">
        <v>1147</v>
      </c>
      <c r="B13" s="39" t="s">
        <v>473</v>
      </c>
      <c r="C13" s="39" t="s">
        <v>465</v>
      </c>
      <c r="D13" s="6" t="s">
        <v>1492</v>
      </c>
      <c r="E13" s="6" t="s">
        <v>1496</v>
      </c>
      <c r="F13" s="8" t="s">
        <v>449</v>
      </c>
      <c r="G13" s="8" t="s">
        <v>440</v>
      </c>
      <c r="H13" s="10" t="s">
        <v>1496</v>
      </c>
      <c r="I13" s="10" t="s">
        <v>470</v>
      </c>
      <c r="J13" s="30"/>
      <c r="K13" s="6">
        <f>COUNTIF(Tabelle12265397112116120129137141149153157[A - Theme],Tabelle10911152394110114118127135139147151155[[#This Row],[Theme]])</f>
        <v>14</v>
      </c>
      <c r="L13" s="38" t="s">
        <v>128</v>
      </c>
      <c r="M13" s="34"/>
    </row>
    <row r="14" spans="1:13" ht="21" customHeight="1" x14ac:dyDescent="0.45">
      <c r="A14" s="29" t="s">
        <v>1148</v>
      </c>
      <c r="B14" s="39" t="s">
        <v>473</v>
      </c>
      <c r="C14" s="39" t="s">
        <v>465</v>
      </c>
      <c r="D14" s="6" t="s">
        <v>1495</v>
      </c>
      <c r="E14" s="6" t="s">
        <v>1494</v>
      </c>
      <c r="F14" s="8" t="s">
        <v>449</v>
      </c>
      <c r="G14" s="8" t="s">
        <v>437</v>
      </c>
      <c r="H14" s="10" t="s">
        <v>1494</v>
      </c>
      <c r="I14" s="10" t="s">
        <v>470</v>
      </c>
      <c r="J14" s="30"/>
      <c r="K14" s="6">
        <f>COUNTIF(Tabelle12265397112116120129137141149153157[A - Theme],Tabelle10911152394110114118127135139147151155[[#This Row],[Theme]])</f>
        <v>11</v>
      </c>
      <c r="L14" s="38" t="s">
        <v>1494</v>
      </c>
      <c r="M14" s="35"/>
    </row>
    <row r="15" spans="1:13" ht="21" customHeight="1" x14ac:dyDescent="0.45">
      <c r="A15" s="29" t="s">
        <v>1149</v>
      </c>
      <c r="B15" s="39" t="s">
        <v>473</v>
      </c>
      <c r="C15" s="39" t="s">
        <v>465</v>
      </c>
      <c r="D15" s="6" t="s">
        <v>1494</v>
      </c>
      <c r="E15" s="6" t="s">
        <v>1494</v>
      </c>
      <c r="F15" s="8" t="s">
        <v>449</v>
      </c>
      <c r="G15" s="8" t="s">
        <v>441</v>
      </c>
      <c r="H15" s="10" t="s">
        <v>1494</v>
      </c>
      <c r="I15" s="10" t="s">
        <v>471</v>
      </c>
      <c r="J15" s="30"/>
      <c r="K15" s="20">
        <f>SUM(Tabelle10911152394110114118127135139147151155[Mentions])</f>
        <v>39</v>
      </c>
      <c r="L15" s="21"/>
      <c r="M15" s="35"/>
    </row>
    <row r="16" spans="1:13" ht="21" customHeight="1" x14ac:dyDescent="0.45">
      <c r="A16" s="29" t="s">
        <v>1150</v>
      </c>
      <c r="B16" s="39" t="s">
        <v>473</v>
      </c>
      <c r="C16" s="39" t="s">
        <v>465</v>
      </c>
      <c r="D16" s="6" t="s">
        <v>128</v>
      </c>
      <c r="E16" s="6" t="s">
        <v>128</v>
      </c>
      <c r="F16" s="8" t="s">
        <v>449</v>
      </c>
      <c r="G16" s="8" t="s">
        <v>442</v>
      </c>
      <c r="H16" s="10" t="s">
        <v>128</v>
      </c>
      <c r="I16" s="10" t="s">
        <v>471</v>
      </c>
      <c r="J16" s="30"/>
      <c r="K16" s="30"/>
      <c r="L16" s="30"/>
      <c r="M16" s="35"/>
    </row>
    <row r="17" spans="1:13" ht="21" customHeight="1" x14ac:dyDescent="0.45">
      <c r="A17" s="29" t="s">
        <v>1151</v>
      </c>
      <c r="B17" s="39" t="s">
        <v>207</v>
      </c>
      <c r="C17" s="39" t="s">
        <v>465</v>
      </c>
      <c r="D17" s="6" t="s">
        <v>128</v>
      </c>
      <c r="E17" s="6" t="s">
        <v>128</v>
      </c>
      <c r="F17" s="8" t="s">
        <v>449</v>
      </c>
      <c r="G17" s="8" t="s">
        <v>437</v>
      </c>
      <c r="H17" s="10" t="s">
        <v>128</v>
      </c>
      <c r="I17" s="10" t="s">
        <v>8</v>
      </c>
      <c r="J17" s="30"/>
      <c r="K17" s="30"/>
      <c r="L17" s="30"/>
      <c r="M17" s="35"/>
    </row>
    <row r="18" spans="1:13" ht="21" customHeight="1" x14ac:dyDescent="0.65">
      <c r="A18" s="29" t="s">
        <v>1152</v>
      </c>
      <c r="B18" s="39" t="s">
        <v>473</v>
      </c>
      <c r="C18" s="39" t="s">
        <v>465</v>
      </c>
      <c r="D18" s="6" t="s">
        <v>128</v>
      </c>
      <c r="E18" s="6" t="s">
        <v>128</v>
      </c>
      <c r="F18" s="8" t="s">
        <v>449</v>
      </c>
      <c r="G18" s="8" t="s">
        <v>441</v>
      </c>
      <c r="H18" s="10" t="s">
        <v>128</v>
      </c>
      <c r="I18" s="10" t="s">
        <v>8</v>
      </c>
      <c r="J18" s="30"/>
      <c r="K18" s="36" t="s">
        <v>452</v>
      </c>
      <c r="L18" s="36"/>
      <c r="M18" s="35"/>
    </row>
    <row r="19" spans="1:13" ht="21" customHeight="1" x14ac:dyDescent="0.55000000000000004">
      <c r="A19" s="29" t="s">
        <v>1153</v>
      </c>
      <c r="B19" s="39" t="s">
        <v>467</v>
      </c>
      <c r="C19" s="39" t="s">
        <v>465</v>
      </c>
      <c r="D19" s="6" t="s">
        <v>128</v>
      </c>
      <c r="E19" s="6" t="s">
        <v>128</v>
      </c>
      <c r="F19" s="8" t="s">
        <v>449</v>
      </c>
      <c r="G19" s="8" t="s">
        <v>437</v>
      </c>
      <c r="H19" s="10" t="s">
        <v>128</v>
      </c>
      <c r="I19" s="10" t="s">
        <v>8</v>
      </c>
      <c r="J19" s="30"/>
      <c r="K19" s="19" t="s">
        <v>5</v>
      </c>
      <c r="L19" s="19" t="s">
        <v>3</v>
      </c>
      <c r="M19" s="35"/>
    </row>
    <row r="20" spans="1:13" ht="21" customHeight="1" x14ac:dyDescent="0.45">
      <c r="A20" s="29" t="s">
        <v>1154</v>
      </c>
      <c r="B20" s="39" t="s">
        <v>473</v>
      </c>
      <c r="C20" s="39" t="s">
        <v>465</v>
      </c>
      <c r="D20" s="6" t="s">
        <v>1493</v>
      </c>
      <c r="E20" s="6" t="s">
        <v>1496</v>
      </c>
      <c r="F20" s="8" t="s">
        <v>449</v>
      </c>
      <c r="G20" s="8" t="s">
        <v>441</v>
      </c>
      <c r="H20" s="10" t="s">
        <v>1496</v>
      </c>
      <c r="I20" s="10" t="s">
        <v>8</v>
      </c>
      <c r="J20" s="30"/>
      <c r="K20" s="8">
        <f>COUNTIF(Tabelle12265397112116120129137141149153157[B - Theme],Tabelle10911111258796111115119128136140148152156[[#This Row],[Theme]])</f>
        <v>15</v>
      </c>
      <c r="L20" s="26" t="s">
        <v>437</v>
      </c>
      <c r="M20" s="35"/>
    </row>
    <row r="21" spans="1:13" ht="21" customHeight="1" x14ac:dyDescent="0.45">
      <c r="A21" s="29" t="s">
        <v>1155</v>
      </c>
      <c r="B21" s="39" t="s">
        <v>467</v>
      </c>
      <c r="C21" s="39" t="s">
        <v>465</v>
      </c>
      <c r="D21" s="6" t="s">
        <v>1494</v>
      </c>
      <c r="E21" s="6" t="s">
        <v>1494</v>
      </c>
      <c r="F21" s="8" t="s">
        <v>449</v>
      </c>
      <c r="G21" s="8" t="s">
        <v>440</v>
      </c>
      <c r="H21" s="10" t="s">
        <v>1494</v>
      </c>
      <c r="I21" s="10" t="s">
        <v>8</v>
      </c>
      <c r="J21" s="30"/>
      <c r="K21" s="8">
        <f>COUNTIF(Tabelle12265397112116120129137141149153157[B - Theme],Tabelle10911111258796111115119128136140148152156[[#This Row],[Theme]])</f>
        <v>1</v>
      </c>
      <c r="L21" s="26" t="s">
        <v>479</v>
      </c>
      <c r="M21" s="35"/>
    </row>
    <row r="22" spans="1:13" ht="21" customHeight="1" x14ac:dyDescent="0.45">
      <c r="A22" s="29" t="s">
        <v>1156</v>
      </c>
      <c r="B22" s="39" t="s">
        <v>207</v>
      </c>
      <c r="C22" s="39" t="s">
        <v>465</v>
      </c>
      <c r="D22" s="6" t="s">
        <v>1495</v>
      </c>
      <c r="E22" s="6" t="s">
        <v>1494</v>
      </c>
      <c r="F22" s="8" t="s">
        <v>449</v>
      </c>
      <c r="G22" s="8" t="s">
        <v>442</v>
      </c>
      <c r="H22" s="10" t="s">
        <v>1494</v>
      </c>
      <c r="I22" s="10" t="s">
        <v>471</v>
      </c>
      <c r="J22" s="30"/>
      <c r="K22" s="8">
        <f>COUNTIF(Tabelle12265397112116120129137141149153157[B - Theme],Tabelle10911111258796111115119128136140148152156[[#This Row],[Theme]])</f>
        <v>3</v>
      </c>
      <c r="L22" s="26" t="s">
        <v>438</v>
      </c>
      <c r="M22" s="35"/>
    </row>
    <row r="23" spans="1:13" ht="21" customHeight="1" x14ac:dyDescent="0.45">
      <c r="A23" s="29" t="s">
        <v>1157</v>
      </c>
      <c r="B23" s="39" t="s">
        <v>467</v>
      </c>
      <c r="C23" s="39" t="s">
        <v>465</v>
      </c>
      <c r="D23" s="6" t="s">
        <v>128</v>
      </c>
      <c r="E23" s="6" t="s">
        <v>128</v>
      </c>
      <c r="F23" s="8" t="s">
        <v>449</v>
      </c>
      <c r="G23" s="8" t="s">
        <v>437</v>
      </c>
      <c r="H23" s="10" t="s">
        <v>128</v>
      </c>
      <c r="I23" s="10" t="s">
        <v>8</v>
      </c>
      <c r="J23" s="30"/>
      <c r="K23" s="8">
        <f>COUNTIF(Tabelle12265397112116120129137141149153157[B - Theme],Tabelle10911111258796111115119128136140148152156[[#This Row],[Theme]])</f>
        <v>1</v>
      </c>
      <c r="L23" s="26" t="s">
        <v>439</v>
      </c>
      <c r="M23" s="35"/>
    </row>
    <row r="24" spans="1:13" ht="21" customHeight="1" x14ac:dyDescent="0.45">
      <c r="A24" s="29" t="s">
        <v>1158</v>
      </c>
      <c r="B24" s="39" t="s">
        <v>467</v>
      </c>
      <c r="C24" s="39" t="s">
        <v>465</v>
      </c>
      <c r="D24" s="6" t="s">
        <v>128</v>
      </c>
      <c r="E24" s="6" t="s">
        <v>128</v>
      </c>
      <c r="F24" s="8" t="s">
        <v>449</v>
      </c>
      <c r="G24" s="8" t="s">
        <v>437</v>
      </c>
      <c r="H24" s="10" t="s">
        <v>128</v>
      </c>
      <c r="I24" s="10" t="s">
        <v>8</v>
      </c>
      <c r="J24" s="30"/>
      <c r="K24" s="8">
        <f>COUNTIF(Tabelle12265397112116120129137141149153157[B - Theme],Tabelle10911111258796111115119128136140148152156[[#This Row],[Theme]])</f>
        <v>10</v>
      </c>
      <c r="L24" s="26" t="s">
        <v>441</v>
      </c>
      <c r="M24" s="33"/>
    </row>
    <row r="25" spans="1:13" ht="21" customHeight="1" x14ac:dyDescent="0.45">
      <c r="A25" s="29" t="s">
        <v>1159</v>
      </c>
      <c r="B25" s="39" t="s">
        <v>467</v>
      </c>
      <c r="C25" s="39" t="s">
        <v>465</v>
      </c>
      <c r="D25" s="6" t="s">
        <v>1494</v>
      </c>
      <c r="E25" s="6" t="s">
        <v>1494</v>
      </c>
      <c r="F25" s="8" t="s">
        <v>449</v>
      </c>
      <c r="G25" s="8" t="s">
        <v>441</v>
      </c>
      <c r="H25" s="10" t="s">
        <v>1494</v>
      </c>
      <c r="I25" s="10" t="s">
        <v>8</v>
      </c>
      <c r="J25" s="30"/>
      <c r="K25" s="8">
        <f>COUNTIF(Tabelle12265397112116120129137141149153157[B - Theme],Tabelle10911111258796111115119128136140148152156[[#This Row],[Theme]])</f>
        <v>2</v>
      </c>
      <c r="L25" s="26" t="s">
        <v>442</v>
      </c>
      <c r="M25" s="30"/>
    </row>
    <row r="26" spans="1:13" ht="21" customHeight="1" x14ac:dyDescent="0.45">
      <c r="A26" s="29" t="s">
        <v>1160</v>
      </c>
      <c r="B26" s="39" t="s">
        <v>473</v>
      </c>
      <c r="C26" s="39" t="s">
        <v>465</v>
      </c>
      <c r="D26" s="6" t="s">
        <v>128</v>
      </c>
      <c r="E26" s="6" t="s">
        <v>128</v>
      </c>
      <c r="F26" s="8" t="s">
        <v>449</v>
      </c>
      <c r="G26" s="8" t="s">
        <v>437</v>
      </c>
      <c r="H26" s="10" t="s">
        <v>128</v>
      </c>
      <c r="I26" s="10" t="s">
        <v>470</v>
      </c>
      <c r="J26" s="30"/>
      <c r="K26" s="8">
        <f>COUNTIF(Tabelle12265397112116120129137141149153157[B - Theme],Tabelle10911111258796111115119128136140148152156[[#This Row],[Theme]])</f>
        <v>7</v>
      </c>
      <c r="L26" s="26" t="s">
        <v>440</v>
      </c>
      <c r="M26" s="30"/>
    </row>
    <row r="27" spans="1:13" ht="21" customHeight="1" x14ac:dyDescent="0.45">
      <c r="A27" s="29" t="s">
        <v>1161</v>
      </c>
      <c r="B27" s="39" t="s">
        <v>473</v>
      </c>
      <c r="C27" s="39" t="s">
        <v>465</v>
      </c>
      <c r="D27" s="6" t="s">
        <v>1494</v>
      </c>
      <c r="E27" s="6" t="s">
        <v>1494</v>
      </c>
      <c r="F27" s="8" t="s">
        <v>449</v>
      </c>
      <c r="G27" s="8" t="s">
        <v>441</v>
      </c>
      <c r="H27" s="10" t="s">
        <v>1494</v>
      </c>
      <c r="I27" s="10" t="s">
        <v>471</v>
      </c>
      <c r="J27" s="30"/>
      <c r="K27" s="24">
        <f>SUM(Tabelle10911111258796111115119128136140148152156[Mentions])</f>
        <v>39</v>
      </c>
      <c r="L27" s="25"/>
      <c r="M27" s="30"/>
    </row>
    <row r="28" spans="1:13" ht="21" customHeight="1" x14ac:dyDescent="0.45">
      <c r="A28" s="29" t="s">
        <v>1162</v>
      </c>
      <c r="B28" s="39" t="s">
        <v>473</v>
      </c>
      <c r="C28" s="39" t="s">
        <v>465</v>
      </c>
      <c r="D28" s="6" t="s">
        <v>128</v>
      </c>
      <c r="E28" s="6" t="s">
        <v>128</v>
      </c>
      <c r="F28" s="8" t="s">
        <v>449</v>
      </c>
      <c r="G28" s="8" t="s">
        <v>437</v>
      </c>
      <c r="H28" s="10" t="s">
        <v>128</v>
      </c>
      <c r="I28" s="10" t="s">
        <v>8</v>
      </c>
      <c r="J28" s="30"/>
      <c r="K28" s="30"/>
      <c r="L28" s="30"/>
      <c r="M28" s="30"/>
    </row>
    <row r="29" spans="1:13" ht="21" customHeight="1" x14ac:dyDescent="0.45">
      <c r="A29" s="29" t="s">
        <v>1163</v>
      </c>
      <c r="B29" s="39" t="s">
        <v>467</v>
      </c>
      <c r="C29" s="39" t="s">
        <v>465</v>
      </c>
      <c r="D29" s="6" t="s">
        <v>1493</v>
      </c>
      <c r="E29" s="6" t="s">
        <v>1496</v>
      </c>
      <c r="F29" s="8" t="s">
        <v>449</v>
      </c>
      <c r="G29" s="8" t="s">
        <v>440</v>
      </c>
      <c r="H29" s="10" t="s">
        <v>1496</v>
      </c>
      <c r="I29" s="10" t="s">
        <v>8</v>
      </c>
      <c r="J29" s="30"/>
      <c r="K29" s="30"/>
      <c r="L29" s="30"/>
      <c r="M29" s="30"/>
    </row>
    <row r="30" spans="1:13" ht="21" customHeight="1" x14ac:dyDescent="0.45">
      <c r="A30" s="29" t="s">
        <v>1176</v>
      </c>
      <c r="B30" s="39" t="s">
        <v>467</v>
      </c>
      <c r="C30" s="39" t="s">
        <v>465</v>
      </c>
      <c r="D30" s="6" t="s">
        <v>1493</v>
      </c>
      <c r="E30" s="6" t="s">
        <v>1496</v>
      </c>
      <c r="F30" s="8" t="s">
        <v>449</v>
      </c>
      <c r="G30" s="8" t="s">
        <v>441</v>
      </c>
      <c r="H30" s="10" t="s">
        <v>1496</v>
      </c>
      <c r="I30" s="10" t="s">
        <v>8</v>
      </c>
      <c r="J30" s="30"/>
      <c r="K30" s="30"/>
      <c r="L30" s="30"/>
      <c r="M30" s="30"/>
    </row>
    <row r="31" spans="1:13" ht="21" customHeight="1" x14ac:dyDescent="0.45">
      <c r="A31" s="29" t="s">
        <v>1164</v>
      </c>
      <c r="B31" s="39" t="s">
        <v>467</v>
      </c>
      <c r="C31" s="39" t="s">
        <v>465</v>
      </c>
      <c r="D31" s="6" t="s">
        <v>1493</v>
      </c>
      <c r="E31" s="6" t="s">
        <v>1496</v>
      </c>
      <c r="F31" s="8" t="s">
        <v>449</v>
      </c>
      <c r="G31" s="8" t="s">
        <v>440</v>
      </c>
      <c r="H31" s="10" t="s">
        <v>1496</v>
      </c>
      <c r="I31" s="10" t="s">
        <v>8</v>
      </c>
      <c r="J31" s="30"/>
      <c r="K31" s="30"/>
      <c r="L31" s="30"/>
      <c r="M31" s="30"/>
    </row>
    <row r="32" spans="1:13" ht="21" customHeight="1" x14ac:dyDescent="0.45">
      <c r="A32" s="29" t="s">
        <v>1165</v>
      </c>
      <c r="B32" s="39" t="s">
        <v>467</v>
      </c>
      <c r="C32" s="39" t="s">
        <v>465</v>
      </c>
      <c r="D32" s="6" t="s">
        <v>1493</v>
      </c>
      <c r="E32" s="6" t="s">
        <v>1494</v>
      </c>
      <c r="F32" s="8" t="s">
        <v>449</v>
      </c>
      <c r="G32" s="8" t="s">
        <v>441</v>
      </c>
      <c r="H32" s="10" t="s">
        <v>1494</v>
      </c>
      <c r="I32" s="10" t="s">
        <v>8</v>
      </c>
      <c r="J32" s="30"/>
      <c r="K32" s="30"/>
      <c r="L32" s="30"/>
      <c r="M32" s="30"/>
    </row>
    <row r="33" spans="1:13" ht="21" customHeight="1" x14ac:dyDescent="0.45">
      <c r="A33" s="29" t="s">
        <v>1166</v>
      </c>
      <c r="B33" s="39" t="s">
        <v>473</v>
      </c>
      <c r="C33" s="39" t="s">
        <v>465</v>
      </c>
      <c r="D33" s="6" t="s">
        <v>128</v>
      </c>
      <c r="E33" s="6" t="s">
        <v>128</v>
      </c>
      <c r="F33" s="8" t="s">
        <v>449</v>
      </c>
      <c r="G33" s="8" t="s">
        <v>437</v>
      </c>
      <c r="H33" s="10" t="s">
        <v>128</v>
      </c>
      <c r="I33" s="10" t="s">
        <v>8</v>
      </c>
      <c r="J33" s="30"/>
      <c r="K33" s="30"/>
      <c r="L33" s="30"/>
      <c r="M33" s="30"/>
    </row>
    <row r="34" spans="1:13" ht="21" customHeight="1" x14ac:dyDescent="0.45">
      <c r="A34" s="29" t="s">
        <v>1167</v>
      </c>
      <c r="B34" s="39" t="s">
        <v>207</v>
      </c>
      <c r="C34" s="39" t="s">
        <v>465</v>
      </c>
      <c r="D34" s="6" t="s">
        <v>1494</v>
      </c>
      <c r="E34" s="6" t="s">
        <v>1496</v>
      </c>
      <c r="F34" s="8" t="s">
        <v>449</v>
      </c>
      <c r="G34" s="8" t="s">
        <v>441</v>
      </c>
      <c r="H34" s="10" t="s">
        <v>1496</v>
      </c>
      <c r="I34" s="10" t="s">
        <v>471</v>
      </c>
      <c r="J34" s="30"/>
      <c r="K34" s="30"/>
      <c r="L34" s="30"/>
      <c r="M34" s="30"/>
    </row>
    <row r="35" spans="1:13" ht="21" customHeight="1" x14ac:dyDescent="0.45">
      <c r="A35" s="29" t="s">
        <v>1168</v>
      </c>
      <c r="B35" s="39" t="s">
        <v>473</v>
      </c>
      <c r="C35" s="39" t="s">
        <v>465</v>
      </c>
      <c r="D35" s="6" t="s">
        <v>1494</v>
      </c>
      <c r="E35" s="6" t="s">
        <v>1496</v>
      </c>
      <c r="F35" s="8" t="s">
        <v>449</v>
      </c>
      <c r="G35" s="8" t="s">
        <v>440</v>
      </c>
      <c r="H35" s="10" t="s">
        <v>1496</v>
      </c>
      <c r="I35" s="10" t="s">
        <v>8</v>
      </c>
      <c r="J35" s="30"/>
      <c r="K35" s="30"/>
      <c r="L35" s="30"/>
      <c r="M35" s="30"/>
    </row>
    <row r="36" spans="1:13" ht="21" customHeight="1" x14ac:dyDescent="0.45">
      <c r="A36" s="29" t="s">
        <v>1169</v>
      </c>
      <c r="B36" s="39" t="s">
        <v>473</v>
      </c>
      <c r="C36" s="39" t="s">
        <v>465</v>
      </c>
      <c r="D36" s="6" t="s">
        <v>1493</v>
      </c>
      <c r="E36" s="6" t="s">
        <v>1496</v>
      </c>
      <c r="F36" s="8" t="s">
        <v>449</v>
      </c>
      <c r="G36" s="8" t="s">
        <v>437</v>
      </c>
      <c r="H36" s="10" t="s">
        <v>1496</v>
      </c>
      <c r="I36" s="10" t="s">
        <v>8</v>
      </c>
      <c r="J36" s="30"/>
      <c r="K36" s="30"/>
      <c r="L36" s="30"/>
      <c r="M36" s="30"/>
    </row>
    <row r="37" spans="1:13" ht="21" customHeight="1" x14ac:dyDescent="0.45">
      <c r="A37" s="29" t="s">
        <v>1170</v>
      </c>
      <c r="B37" s="39" t="s">
        <v>207</v>
      </c>
      <c r="C37" s="39" t="s">
        <v>465</v>
      </c>
      <c r="D37" s="6" t="s">
        <v>1493</v>
      </c>
      <c r="E37" s="6" t="s">
        <v>1496</v>
      </c>
      <c r="F37" s="8" t="s">
        <v>449</v>
      </c>
      <c r="G37" s="8" t="s">
        <v>437</v>
      </c>
      <c r="H37" s="10" t="s">
        <v>1496</v>
      </c>
      <c r="I37" s="10" t="s">
        <v>8</v>
      </c>
      <c r="J37" s="30"/>
      <c r="K37" s="30"/>
      <c r="L37" s="30"/>
      <c r="M37" s="30"/>
    </row>
    <row r="38" spans="1:13" ht="21" customHeight="1" x14ac:dyDescent="0.45">
      <c r="A38" s="29" t="s">
        <v>1171</v>
      </c>
      <c r="B38" s="39" t="s">
        <v>467</v>
      </c>
      <c r="C38" s="39" t="s">
        <v>465</v>
      </c>
      <c r="D38" s="6" t="s">
        <v>1493</v>
      </c>
      <c r="E38" s="6" t="s">
        <v>1496</v>
      </c>
      <c r="F38" s="8" t="s">
        <v>449</v>
      </c>
      <c r="G38" s="8" t="s">
        <v>441</v>
      </c>
      <c r="H38" s="10" t="s">
        <v>1496</v>
      </c>
      <c r="I38" s="10" t="s">
        <v>8</v>
      </c>
      <c r="J38" s="30"/>
      <c r="K38" s="30"/>
      <c r="L38" s="30"/>
      <c r="M38" s="30"/>
    </row>
    <row r="39" spans="1:13" ht="21" customHeight="1" x14ac:dyDescent="0.45">
      <c r="A39" s="29" t="s">
        <v>1172</v>
      </c>
      <c r="B39" s="39" t="s">
        <v>473</v>
      </c>
      <c r="C39" s="39" t="s">
        <v>465</v>
      </c>
      <c r="D39" s="6" t="s">
        <v>128</v>
      </c>
      <c r="E39" s="6" t="s">
        <v>128</v>
      </c>
      <c r="F39" s="8" t="s">
        <v>449</v>
      </c>
      <c r="G39" s="8" t="s">
        <v>437</v>
      </c>
      <c r="H39" s="10" t="s">
        <v>128</v>
      </c>
      <c r="I39" s="10" t="s">
        <v>8</v>
      </c>
      <c r="J39" s="30"/>
      <c r="K39" s="30"/>
      <c r="L39" s="30"/>
      <c r="M39" s="30"/>
    </row>
    <row r="40" spans="1:13" ht="21" customHeight="1" x14ac:dyDescent="0.45">
      <c r="A40" s="29" t="s">
        <v>1173</v>
      </c>
      <c r="B40" s="39" t="s">
        <v>467</v>
      </c>
      <c r="C40" s="39" t="s">
        <v>465</v>
      </c>
      <c r="D40" s="6" t="s">
        <v>1494</v>
      </c>
      <c r="E40" s="6" t="s">
        <v>1494</v>
      </c>
      <c r="F40" s="8" t="s">
        <v>449</v>
      </c>
      <c r="G40" s="8" t="s">
        <v>440</v>
      </c>
      <c r="H40" s="10" t="s">
        <v>1494</v>
      </c>
      <c r="I40" s="10" t="s">
        <v>8</v>
      </c>
      <c r="J40" s="30"/>
      <c r="K40" s="30"/>
      <c r="L40" s="30"/>
      <c r="M40" s="30"/>
    </row>
    <row r="41" spans="1:13" ht="21" customHeight="1" x14ac:dyDescent="0.45">
      <c r="A41" s="29" t="s">
        <v>1174</v>
      </c>
      <c r="B41" s="39" t="s">
        <v>467</v>
      </c>
      <c r="C41" s="39" t="s">
        <v>465</v>
      </c>
      <c r="D41" s="6" t="s">
        <v>1494</v>
      </c>
      <c r="E41" s="6" t="s">
        <v>1494</v>
      </c>
      <c r="F41" s="8" t="s">
        <v>449</v>
      </c>
      <c r="G41" s="8" t="s">
        <v>440</v>
      </c>
      <c r="H41" s="10" t="s">
        <v>1494</v>
      </c>
      <c r="I41" s="10" t="s">
        <v>8</v>
      </c>
      <c r="J41" s="30"/>
      <c r="K41" s="30"/>
      <c r="L41" s="30"/>
      <c r="M41" s="30"/>
    </row>
    <row r="42" spans="1:13" ht="21" customHeight="1" x14ac:dyDescent="0.45">
      <c r="A42" s="29" t="s">
        <v>1175</v>
      </c>
      <c r="B42" s="39" t="s">
        <v>473</v>
      </c>
      <c r="C42" s="39" t="s">
        <v>465</v>
      </c>
      <c r="D42" s="6" t="s">
        <v>1494</v>
      </c>
      <c r="E42" s="6" t="s">
        <v>1494</v>
      </c>
      <c r="F42" s="8" t="s">
        <v>449</v>
      </c>
      <c r="G42" s="8" t="s">
        <v>441</v>
      </c>
      <c r="H42" s="10" t="s">
        <v>1494</v>
      </c>
      <c r="I42" s="10" t="s">
        <v>8</v>
      </c>
      <c r="J42" s="30"/>
      <c r="K42" s="30"/>
      <c r="L42" s="30"/>
      <c r="M42" s="30"/>
    </row>
    <row r="43" spans="1:13" ht="21" customHeight="1" x14ac:dyDescent="0.45">
      <c r="I43" s="49"/>
    </row>
    <row r="44" spans="1:13" ht="21" customHeight="1" x14ac:dyDescent="0.45">
      <c r="I44" s="49"/>
    </row>
    <row r="45" spans="1:13" ht="21" customHeight="1" x14ac:dyDescent="0.45">
      <c r="A45" s="49"/>
      <c r="B45" s="49"/>
      <c r="D45" s="49"/>
      <c r="E45" s="49"/>
      <c r="F45" s="49"/>
      <c r="G45" s="49"/>
      <c r="H45" s="49"/>
      <c r="I45" s="49"/>
    </row>
    <row r="46" spans="1:13" ht="21" customHeight="1" x14ac:dyDescent="0.45">
      <c r="A46" s="49"/>
      <c r="B46" s="49"/>
      <c r="D46" s="49"/>
      <c r="E46" s="49"/>
      <c r="F46" s="49"/>
      <c r="G46" s="49"/>
      <c r="H46" s="49"/>
      <c r="I46" s="49"/>
    </row>
    <row r="47" spans="1:13" ht="21" customHeight="1" x14ac:dyDescent="0.45">
      <c r="A47" s="49"/>
      <c r="B47" s="49"/>
      <c r="D47" s="49"/>
      <c r="E47" s="49"/>
      <c r="F47" s="49"/>
      <c r="G47" s="49"/>
      <c r="H47" s="49"/>
      <c r="I47" s="49"/>
    </row>
    <row r="48" spans="1:13" ht="21" customHeight="1" x14ac:dyDescent="0.45">
      <c r="A48" s="49"/>
      <c r="B48" s="49"/>
      <c r="D48" s="49"/>
      <c r="E48" s="49"/>
      <c r="F48" s="49"/>
      <c r="G48" s="49"/>
      <c r="H48" s="49"/>
      <c r="I48" s="49"/>
    </row>
    <row r="49" spans="1:9" ht="21" customHeight="1" x14ac:dyDescent="0.45">
      <c r="A49" s="49"/>
      <c r="B49" s="49"/>
      <c r="D49" s="49"/>
      <c r="E49" s="49"/>
      <c r="F49" s="49"/>
      <c r="G49" s="49"/>
      <c r="H49" s="49"/>
      <c r="I49" s="49"/>
    </row>
    <row r="50" spans="1:9" ht="21" customHeight="1" x14ac:dyDescent="0.45">
      <c r="A50" s="49"/>
      <c r="B50" s="49"/>
      <c r="D50" s="49"/>
      <c r="E50" s="49"/>
      <c r="F50" s="49"/>
      <c r="G50" s="49"/>
      <c r="H50" s="49"/>
      <c r="I50" s="49"/>
    </row>
    <row r="51" spans="1:9" ht="21" customHeight="1" x14ac:dyDescent="0.45">
      <c r="A51" s="49"/>
      <c r="B51" s="49"/>
      <c r="D51" s="49"/>
      <c r="E51" s="49"/>
      <c r="F51" s="49"/>
      <c r="G51" s="49"/>
      <c r="H51" s="49"/>
      <c r="I51" s="49"/>
    </row>
    <row r="52" spans="1:9" ht="21" customHeight="1" x14ac:dyDescent="0.45">
      <c r="A52" s="49"/>
      <c r="B52" s="49"/>
      <c r="D52" s="49"/>
      <c r="E52" s="49"/>
      <c r="F52" s="49"/>
      <c r="G52" s="49"/>
      <c r="H52" s="49"/>
      <c r="I52" s="49"/>
    </row>
    <row r="53" spans="1:9" ht="21" customHeight="1" x14ac:dyDescent="0.45">
      <c r="A53" s="49"/>
      <c r="B53" s="49"/>
      <c r="D53" s="49"/>
      <c r="E53" s="49"/>
      <c r="F53" s="49"/>
      <c r="G53" s="49"/>
      <c r="H53" s="49"/>
      <c r="I53" s="49"/>
    </row>
    <row r="54" spans="1:9" ht="21" customHeight="1" x14ac:dyDescent="0.45">
      <c r="A54" s="49"/>
      <c r="B54" s="49"/>
      <c r="D54" s="49"/>
      <c r="E54" s="49"/>
      <c r="F54" s="49"/>
      <c r="G54" s="49"/>
      <c r="H54" s="49"/>
      <c r="I54" s="49"/>
    </row>
    <row r="55" spans="1:9" ht="21" customHeight="1" x14ac:dyDescent="0.45">
      <c r="A55" s="49"/>
      <c r="B55" s="49"/>
      <c r="D55" s="49"/>
      <c r="E55" s="49"/>
      <c r="F55" s="49"/>
      <c r="G55" s="49"/>
      <c r="H55" s="49"/>
      <c r="I55" s="49"/>
    </row>
    <row r="56" spans="1:9" ht="21" customHeight="1" x14ac:dyDescent="0.45">
      <c r="A56" s="49"/>
      <c r="B56" s="49"/>
      <c r="D56" s="49"/>
      <c r="E56" s="49"/>
      <c r="F56" s="49"/>
      <c r="G56" s="49"/>
      <c r="H56" s="49"/>
      <c r="I56" s="49"/>
    </row>
    <row r="57" spans="1:9" ht="21" customHeight="1" x14ac:dyDescent="0.45">
      <c r="A57" s="49"/>
      <c r="B57" s="49"/>
      <c r="D57" s="49"/>
      <c r="E57" s="49"/>
      <c r="F57" s="49"/>
      <c r="G57" s="49"/>
      <c r="H57" s="49"/>
      <c r="I57" s="49"/>
    </row>
    <row r="58" spans="1:9" ht="21" customHeight="1" x14ac:dyDescent="0.45">
      <c r="A58" s="49"/>
      <c r="B58" s="49"/>
      <c r="D58" s="49"/>
      <c r="E58" s="49"/>
      <c r="F58" s="49"/>
      <c r="G58" s="49"/>
      <c r="H58" s="49"/>
      <c r="I58" s="49"/>
    </row>
    <row r="59" spans="1:9" ht="21" customHeight="1" x14ac:dyDescent="0.45">
      <c r="A59" s="49"/>
      <c r="B59" s="49"/>
      <c r="D59" s="49"/>
      <c r="E59" s="49"/>
      <c r="F59" s="49"/>
      <c r="G59" s="49"/>
      <c r="H59" s="49"/>
      <c r="I59" s="49"/>
    </row>
    <row r="60" spans="1:9" ht="21" customHeight="1" x14ac:dyDescent="0.45">
      <c r="A60" s="49"/>
      <c r="B60" s="49"/>
      <c r="D60" s="49"/>
      <c r="E60" s="49"/>
      <c r="F60" s="49"/>
      <c r="G60" s="49"/>
      <c r="H60" s="49"/>
      <c r="I60" s="49"/>
    </row>
    <row r="61" spans="1:9" ht="21" customHeight="1" x14ac:dyDescent="0.45">
      <c r="A61" s="49"/>
      <c r="B61" s="49"/>
      <c r="D61" s="49"/>
      <c r="E61" s="49"/>
      <c r="F61" s="49"/>
      <c r="G61" s="49"/>
      <c r="H61" s="49"/>
      <c r="I61" s="49"/>
    </row>
    <row r="62" spans="1:9" ht="21" customHeight="1" x14ac:dyDescent="0.45">
      <c r="A62" s="49"/>
      <c r="B62" s="49"/>
      <c r="D62" s="49"/>
      <c r="E62" s="49"/>
      <c r="F62" s="49"/>
      <c r="G62" s="49"/>
      <c r="H62" s="49"/>
      <c r="I62" s="49"/>
    </row>
    <row r="63" spans="1:9" ht="21" customHeight="1" x14ac:dyDescent="0.45">
      <c r="A63" s="49"/>
      <c r="B63" s="49"/>
      <c r="D63" s="49"/>
      <c r="E63" s="49"/>
      <c r="F63" s="49"/>
      <c r="G63" s="49"/>
      <c r="H63" s="49"/>
      <c r="I63" s="49"/>
    </row>
    <row r="64" spans="1:9" ht="21" customHeight="1" x14ac:dyDescent="0.45">
      <c r="A64" s="49"/>
      <c r="B64" s="49"/>
      <c r="D64" s="49"/>
      <c r="E64" s="49"/>
      <c r="F64" s="49"/>
      <c r="G64" s="49"/>
      <c r="H64" s="49"/>
      <c r="I64" s="49"/>
    </row>
    <row r="65" spans="1:9" ht="21" customHeight="1" x14ac:dyDescent="0.45">
      <c r="A65" s="49"/>
      <c r="B65" s="49"/>
      <c r="D65" s="49"/>
      <c r="E65" s="49"/>
      <c r="F65" s="49"/>
      <c r="G65" s="49"/>
      <c r="H65" s="49"/>
      <c r="I65" s="49"/>
    </row>
    <row r="66" spans="1:9" ht="21" customHeight="1" x14ac:dyDescent="0.45">
      <c r="A66" s="49"/>
      <c r="B66" s="49"/>
      <c r="D66" s="49"/>
      <c r="E66" s="49"/>
      <c r="F66" s="49"/>
      <c r="G66" s="49"/>
      <c r="H66" s="49"/>
      <c r="I66" s="49"/>
    </row>
    <row r="67" spans="1:9" ht="21" customHeight="1" x14ac:dyDescent="0.45">
      <c r="A67" s="49"/>
      <c r="B67" s="49"/>
      <c r="D67" s="49"/>
      <c r="E67" s="49"/>
      <c r="F67" s="49"/>
      <c r="G67" s="49"/>
      <c r="H67" s="49"/>
      <c r="I67" s="49"/>
    </row>
    <row r="68" spans="1:9" ht="21" customHeight="1" x14ac:dyDescent="0.45">
      <c r="A68" s="49"/>
      <c r="B68" s="49"/>
      <c r="D68" s="49"/>
      <c r="E68" s="49"/>
      <c r="F68" s="49"/>
      <c r="G68" s="49"/>
      <c r="H68" s="49"/>
      <c r="I68" s="49"/>
    </row>
    <row r="69" spans="1:9" ht="21" customHeight="1" x14ac:dyDescent="0.45">
      <c r="A69" s="49"/>
      <c r="B69" s="49"/>
      <c r="D69" s="49"/>
      <c r="E69" s="49"/>
      <c r="F69" s="49"/>
      <c r="G69" s="49"/>
      <c r="H69" s="49"/>
      <c r="I69" s="49"/>
    </row>
    <row r="70" spans="1:9" ht="21" customHeight="1" x14ac:dyDescent="0.45">
      <c r="A70" s="49"/>
      <c r="B70" s="49"/>
      <c r="D70" s="49"/>
      <c r="E70" s="49"/>
      <c r="F70" s="49"/>
      <c r="G70" s="49"/>
      <c r="H70" s="49"/>
      <c r="I70" s="49"/>
    </row>
    <row r="71" spans="1:9" ht="21" customHeight="1" x14ac:dyDescent="0.45">
      <c r="A71" s="49"/>
      <c r="B71" s="49"/>
      <c r="D71" s="49"/>
      <c r="E71" s="49"/>
      <c r="F71" s="49"/>
      <c r="G71" s="49"/>
      <c r="H71" s="49"/>
      <c r="I71" s="49"/>
    </row>
    <row r="72" spans="1:9" ht="21" customHeight="1" x14ac:dyDescent="0.45">
      <c r="A72" s="49"/>
      <c r="B72" s="49"/>
      <c r="D72" s="49"/>
      <c r="E72" s="49"/>
      <c r="F72" s="49"/>
      <c r="G72" s="49"/>
      <c r="H72" s="49"/>
      <c r="I72" s="49"/>
    </row>
    <row r="73" spans="1:9" ht="21" customHeight="1" x14ac:dyDescent="0.45">
      <c r="A73" s="49"/>
      <c r="B73" s="49"/>
      <c r="D73" s="49"/>
      <c r="E73" s="49"/>
      <c r="F73" s="49"/>
      <c r="G73" s="49"/>
      <c r="H73" s="49"/>
      <c r="I73" s="49"/>
    </row>
    <row r="74" spans="1:9" ht="21" customHeight="1" x14ac:dyDescent="0.45">
      <c r="A74" s="49"/>
      <c r="B74" s="49"/>
      <c r="D74" s="49"/>
      <c r="E74" s="49"/>
      <c r="F74" s="49"/>
      <c r="G74" s="49"/>
      <c r="H74" s="49"/>
      <c r="I74" s="49"/>
    </row>
    <row r="75" spans="1:9" ht="21" customHeight="1" x14ac:dyDescent="0.45">
      <c r="A75" s="49"/>
      <c r="B75" s="49"/>
      <c r="D75" s="49"/>
      <c r="E75" s="49"/>
      <c r="F75" s="49"/>
      <c r="G75" s="49"/>
      <c r="H75" s="49"/>
      <c r="I75" s="49"/>
    </row>
    <row r="76" spans="1:9" ht="21" customHeight="1" x14ac:dyDescent="0.45">
      <c r="A76" s="49"/>
      <c r="B76" s="49"/>
      <c r="D76" s="49"/>
      <c r="E76" s="49"/>
      <c r="F76" s="49"/>
      <c r="G76" s="49"/>
      <c r="H76" s="49"/>
      <c r="I76" s="49"/>
    </row>
    <row r="77" spans="1:9" ht="21" customHeight="1" x14ac:dyDescent="0.45">
      <c r="A77" s="49"/>
      <c r="B77" s="49"/>
      <c r="D77" s="49"/>
      <c r="E77" s="49"/>
      <c r="F77" s="49"/>
      <c r="G77" s="49"/>
      <c r="H77" s="49"/>
      <c r="I77" s="49"/>
    </row>
    <row r="78" spans="1:9" ht="21" customHeight="1" x14ac:dyDescent="0.45">
      <c r="A78" s="49"/>
      <c r="B78" s="49"/>
      <c r="D78" s="49"/>
      <c r="E78" s="49"/>
      <c r="F78" s="49"/>
      <c r="G78" s="49"/>
      <c r="H78" s="49"/>
      <c r="I78" s="49"/>
    </row>
    <row r="79" spans="1:9" ht="21" customHeight="1" x14ac:dyDescent="0.45">
      <c r="A79" s="49"/>
      <c r="B79" s="49"/>
      <c r="D79" s="49"/>
      <c r="E79" s="49"/>
      <c r="F79" s="49"/>
      <c r="G79" s="49"/>
      <c r="H79" s="49"/>
      <c r="I79" s="49"/>
    </row>
    <row r="80" spans="1:9" ht="21" customHeight="1" x14ac:dyDescent="0.45">
      <c r="A80" s="49"/>
      <c r="B80" s="49"/>
      <c r="D80" s="49"/>
      <c r="E80" s="49"/>
      <c r="F80" s="49"/>
      <c r="G80" s="49"/>
      <c r="H80" s="49"/>
      <c r="I80" s="49"/>
    </row>
    <row r="81" spans="1:9" ht="21" customHeight="1" x14ac:dyDescent="0.45">
      <c r="A81" s="49"/>
      <c r="B81" s="49"/>
      <c r="D81" s="49"/>
      <c r="E81" s="49"/>
      <c r="F81" s="49"/>
      <c r="G81" s="49"/>
      <c r="H81" s="49"/>
      <c r="I81" s="49"/>
    </row>
    <row r="82" spans="1:9" ht="21" customHeight="1" x14ac:dyDescent="0.45">
      <c r="A82" s="49"/>
      <c r="B82" s="49"/>
      <c r="D82" s="49"/>
      <c r="E82" s="49"/>
      <c r="F82" s="49"/>
      <c r="G82" s="49"/>
      <c r="H82" s="49"/>
      <c r="I82" s="49"/>
    </row>
    <row r="83" spans="1:9" ht="21" customHeight="1" x14ac:dyDescent="0.45">
      <c r="A83" s="49"/>
      <c r="B83" s="49"/>
      <c r="D83" s="49"/>
      <c r="E83" s="49"/>
      <c r="F83" s="49"/>
      <c r="G83" s="49"/>
      <c r="H83" s="49"/>
      <c r="I83" s="49"/>
    </row>
  </sheetData>
  <mergeCells count="5">
    <mergeCell ref="D2:E2"/>
    <mergeCell ref="F2:G2"/>
    <mergeCell ref="K10:L10"/>
    <mergeCell ref="C2:C3"/>
    <mergeCell ref="B2:B3"/>
  </mergeCells>
  <pageMargins left="0.7" right="0.7" top="0.78740157499999996" bottom="0.78740157499999996" header="0.3" footer="0.3"/>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5"/>
  <sheetViews>
    <sheetView zoomScale="70" zoomScaleNormal="70" workbookViewId="0">
      <selection activeCell="G10" sqref="G10"/>
    </sheetView>
  </sheetViews>
  <sheetFormatPr baseColWidth="10" defaultColWidth="10.33203125" defaultRowHeight="14.25" customHeight="1" x14ac:dyDescent="0.45"/>
  <cols>
    <col min="1" max="1" width="62.73046875" customWidth="1"/>
    <col min="2" max="2" width="31.46484375" customWidth="1"/>
    <col min="3" max="3" width="23.796875" customWidth="1"/>
    <col min="4" max="4" width="13.9296875" customWidth="1"/>
    <col min="5" max="5" width="7.53125" customWidth="1"/>
    <col min="6" max="6" width="15.06640625" customWidth="1"/>
    <col min="7" max="7" width="26" customWidth="1"/>
    <col min="8" max="8" width="7.53125" customWidth="1"/>
  </cols>
  <sheetData>
    <row r="1" spans="1:8" ht="31.9" x14ac:dyDescent="0.45">
      <c r="A1" s="37" t="s">
        <v>625</v>
      </c>
      <c r="B1" s="30"/>
      <c r="C1" s="30"/>
      <c r="D1" s="30"/>
      <c r="E1" s="30"/>
      <c r="F1" s="30"/>
      <c r="G1" s="30"/>
      <c r="H1" s="30"/>
    </row>
    <row r="2" spans="1:8" ht="14.25" customHeight="1" x14ac:dyDescent="0.45">
      <c r="A2" s="30"/>
      <c r="B2" s="30"/>
      <c r="C2" s="30"/>
      <c r="D2" s="30"/>
      <c r="E2" s="30"/>
      <c r="F2" s="30"/>
      <c r="G2" s="30"/>
      <c r="H2" s="30"/>
    </row>
    <row r="3" spans="1:8" ht="21" x14ac:dyDescent="0.65">
      <c r="A3" s="53"/>
      <c r="B3" s="30"/>
      <c r="C3" s="30"/>
      <c r="D3" s="30"/>
      <c r="E3" s="30"/>
      <c r="F3" s="30"/>
      <c r="G3" s="30"/>
      <c r="H3" s="30"/>
    </row>
    <row r="4" spans="1:8" ht="14.25" customHeight="1" x14ac:dyDescent="0.45">
      <c r="A4" s="30"/>
      <c r="B4" s="30"/>
      <c r="C4" s="30"/>
      <c r="D4" s="30"/>
      <c r="E4" s="30"/>
      <c r="F4" s="30"/>
      <c r="G4" s="30"/>
      <c r="H4" s="30"/>
    </row>
    <row r="5" spans="1:8" ht="18" x14ac:dyDescent="0.55000000000000004">
      <c r="A5" s="13" t="s">
        <v>1</v>
      </c>
      <c r="B5" s="14" t="s">
        <v>2</v>
      </c>
      <c r="C5" s="14" t="s">
        <v>3</v>
      </c>
      <c r="D5" s="14" t="s">
        <v>4</v>
      </c>
      <c r="E5" s="30"/>
      <c r="F5" s="14" t="s">
        <v>5</v>
      </c>
      <c r="G5" s="14" t="s">
        <v>3</v>
      </c>
      <c r="H5" s="30"/>
    </row>
    <row r="6" spans="1:8" ht="21" customHeight="1" x14ac:dyDescent="0.45">
      <c r="A6" s="29" t="s">
        <v>1178</v>
      </c>
      <c r="B6" s="10" t="s">
        <v>1233</v>
      </c>
      <c r="C6" s="10" t="s">
        <v>1233</v>
      </c>
      <c r="D6" s="10" t="s">
        <v>8</v>
      </c>
      <c r="E6" s="30"/>
      <c r="F6" s="43">
        <f>COUNTIF(C3:C48,G6)</f>
        <v>7</v>
      </c>
      <c r="G6" s="45" t="s">
        <v>1233</v>
      </c>
      <c r="H6" s="30"/>
    </row>
    <row r="7" spans="1:8" ht="21" customHeight="1" x14ac:dyDescent="0.45">
      <c r="A7" s="29" t="s">
        <v>1179</v>
      </c>
      <c r="B7" s="10" t="s">
        <v>1233</v>
      </c>
      <c r="C7" s="10" t="s">
        <v>1233</v>
      </c>
      <c r="D7" s="10" t="s">
        <v>8</v>
      </c>
      <c r="E7" s="30"/>
      <c r="F7" s="43">
        <f>COUNTIF(C4:C49,G7)</f>
        <v>7</v>
      </c>
      <c r="G7" s="45" t="s">
        <v>144</v>
      </c>
      <c r="H7" s="30"/>
    </row>
    <row r="8" spans="1:8" ht="21" customHeight="1" x14ac:dyDescent="0.45">
      <c r="A8" s="29" t="s">
        <v>1180</v>
      </c>
      <c r="B8" s="10" t="s">
        <v>144</v>
      </c>
      <c r="C8" s="10" t="s">
        <v>144</v>
      </c>
      <c r="D8" s="10" t="s">
        <v>8</v>
      </c>
      <c r="E8" s="30"/>
      <c r="F8" s="43">
        <f>COUNTIF(C5:C50,G8)</f>
        <v>4</v>
      </c>
      <c r="G8" s="45" t="s">
        <v>1232</v>
      </c>
      <c r="H8" s="30"/>
    </row>
    <row r="9" spans="1:8" ht="21" customHeight="1" x14ac:dyDescent="0.45">
      <c r="A9" s="29" t="s">
        <v>1181</v>
      </c>
      <c r="B9" s="10" t="s">
        <v>1232</v>
      </c>
      <c r="C9" s="10" t="s">
        <v>1232</v>
      </c>
      <c r="D9" s="10" t="s">
        <v>8</v>
      </c>
      <c r="E9" s="30"/>
      <c r="F9" s="43">
        <f>COUNTIF(C6:C51,G9)</f>
        <v>2</v>
      </c>
      <c r="G9" s="45" t="s">
        <v>922</v>
      </c>
      <c r="H9" s="30"/>
    </row>
    <row r="10" spans="1:8" ht="21" customHeight="1" x14ac:dyDescent="0.45">
      <c r="A10" s="29" t="s">
        <v>1182</v>
      </c>
      <c r="B10" s="10" t="s">
        <v>144</v>
      </c>
      <c r="C10" s="10" t="s">
        <v>144</v>
      </c>
      <c r="D10" s="10" t="s">
        <v>8</v>
      </c>
      <c r="E10" s="30"/>
      <c r="F10" s="52">
        <f>SUM(F6:F9)</f>
        <v>20</v>
      </c>
      <c r="G10" s="51"/>
      <c r="H10" s="30"/>
    </row>
    <row r="11" spans="1:8" ht="21" customHeight="1" x14ac:dyDescent="0.45">
      <c r="A11" s="29" t="s">
        <v>1183</v>
      </c>
      <c r="B11" s="10" t="s">
        <v>144</v>
      </c>
      <c r="C11" s="10" t="s">
        <v>144</v>
      </c>
      <c r="D11" s="10" t="s">
        <v>8</v>
      </c>
      <c r="E11" s="30"/>
      <c r="F11" s="30"/>
      <c r="G11" s="30"/>
      <c r="H11" s="30"/>
    </row>
    <row r="12" spans="1:8" ht="21" customHeight="1" x14ac:dyDescent="0.45">
      <c r="A12" s="29" t="s">
        <v>922</v>
      </c>
      <c r="B12" s="10" t="s">
        <v>922</v>
      </c>
      <c r="C12" s="10" t="s">
        <v>922</v>
      </c>
      <c r="D12" s="10" t="s">
        <v>8</v>
      </c>
      <c r="E12" s="30"/>
      <c r="F12" s="30"/>
      <c r="G12" s="30"/>
      <c r="H12" s="30"/>
    </row>
    <row r="13" spans="1:8" ht="21" customHeight="1" x14ac:dyDescent="0.55000000000000004">
      <c r="A13" s="29" t="s">
        <v>1184</v>
      </c>
      <c r="B13" s="10" t="s">
        <v>1233</v>
      </c>
      <c r="C13" s="10" t="s">
        <v>1233</v>
      </c>
      <c r="D13" s="10" t="s">
        <v>8</v>
      </c>
      <c r="E13" s="30"/>
      <c r="F13" s="32"/>
      <c r="G13" s="32"/>
      <c r="H13" s="30"/>
    </row>
    <row r="14" spans="1:8" ht="21" customHeight="1" x14ac:dyDescent="0.45">
      <c r="A14" s="29" t="s">
        <v>1185</v>
      </c>
      <c r="B14" s="10" t="s">
        <v>1233</v>
      </c>
      <c r="C14" s="10" t="s">
        <v>1233</v>
      </c>
      <c r="D14" s="10" t="s">
        <v>8</v>
      </c>
      <c r="E14" s="30"/>
      <c r="F14" s="46"/>
      <c r="G14" s="46"/>
      <c r="H14" s="30"/>
    </row>
    <row r="15" spans="1:8" ht="21" customHeight="1" x14ac:dyDescent="0.45">
      <c r="A15" s="29" t="s">
        <v>1186</v>
      </c>
      <c r="B15" s="10" t="s">
        <v>1233</v>
      </c>
      <c r="C15" s="10" t="s">
        <v>1233</v>
      </c>
      <c r="D15" s="10" t="s">
        <v>8</v>
      </c>
      <c r="E15" s="30"/>
      <c r="F15" s="46"/>
      <c r="G15" s="46"/>
      <c r="H15" s="30"/>
    </row>
    <row r="16" spans="1:8" ht="21" customHeight="1" x14ac:dyDescent="0.45">
      <c r="A16" s="29" t="s">
        <v>1187</v>
      </c>
      <c r="B16" s="10" t="s">
        <v>144</v>
      </c>
      <c r="C16" s="10" t="s">
        <v>144</v>
      </c>
      <c r="D16" s="10" t="s">
        <v>8</v>
      </c>
      <c r="E16" s="30"/>
      <c r="F16" s="46"/>
      <c r="G16" s="46"/>
      <c r="H16" s="30"/>
    </row>
    <row r="17" spans="1:8" ht="21" customHeight="1" x14ac:dyDescent="0.45">
      <c r="A17" s="29" t="s">
        <v>1188</v>
      </c>
      <c r="B17" s="10" t="s">
        <v>1232</v>
      </c>
      <c r="C17" s="10" t="s">
        <v>1232</v>
      </c>
      <c r="D17" s="10" t="s">
        <v>8</v>
      </c>
      <c r="E17" s="30"/>
      <c r="F17" s="54"/>
      <c r="G17" s="33"/>
      <c r="H17" s="30"/>
    </row>
    <row r="18" spans="1:8" ht="21" customHeight="1" x14ac:dyDescent="0.45">
      <c r="A18" s="29" t="s">
        <v>1189</v>
      </c>
      <c r="B18" s="10" t="s">
        <v>144</v>
      </c>
      <c r="C18" s="10" t="s">
        <v>144</v>
      </c>
      <c r="D18" s="10" t="s">
        <v>8</v>
      </c>
      <c r="E18" s="30"/>
      <c r="F18" s="30"/>
      <c r="G18" s="30"/>
      <c r="H18" s="30"/>
    </row>
    <row r="19" spans="1:8" ht="21" customHeight="1" x14ac:dyDescent="0.45">
      <c r="A19" s="29" t="s">
        <v>1190</v>
      </c>
      <c r="B19" s="10" t="s">
        <v>1233</v>
      </c>
      <c r="C19" s="10" t="s">
        <v>1233</v>
      </c>
      <c r="D19" s="10" t="s">
        <v>8</v>
      </c>
      <c r="E19" s="30"/>
      <c r="F19" s="30"/>
      <c r="G19" s="30"/>
      <c r="H19" s="30"/>
    </row>
    <row r="20" spans="1:8" ht="21" customHeight="1" x14ac:dyDescent="0.45">
      <c r="A20" s="29" t="s">
        <v>1191</v>
      </c>
      <c r="B20" s="10" t="s">
        <v>922</v>
      </c>
      <c r="C20" s="10" t="s">
        <v>922</v>
      </c>
      <c r="D20" s="10" t="s">
        <v>8</v>
      </c>
      <c r="E20" s="30"/>
      <c r="F20" s="30"/>
      <c r="G20" s="30"/>
      <c r="H20" s="30"/>
    </row>
    <row r="21" spans="1:8" ht="21" customHeight="1" x14ac:dyDescent="0.45">
      <c r="A21" s="29" t="s">
        <v>1192</v>
      </c>
      <c r="B21" s="10" t="s">
        <v>144</v>
      </c>
      <c r="C21" s="10" t="s">
        <v>144</v>
      </c>
      <c r="D21" s="10" t="s">
        <v>8</v>
      </c>
      <c r="E21" s="30"/>
      <c r="F21" s="30"/>
      <c r="G21" s="30"/>
      <c r="H21" s="30"/>
    </row>
    <row r="22" spans="1:8" ht="21" customHeight="1" x14ac:dyDescent="0.45">
      <c r="A22" s="29" t="s">
        <v>1193</v>
      </c>
      <c r="B22" s="10" t="s">
        <v>1233</v>
      </c>
      <c r="C22" s="10" t="s">
        <v>1233</v>
      </c>
      <c r="D22" s="10" t="s">
        <v>8</v>
      </c>
      <c r="E22" s="30"/>
      <c r="F22" s="30"/>
      <c r="G22" s="30"/>
      <c r="H22" s="30"/>
    </row>
    <row r="23" spans="1:8" ht="21" customHeight="1" x14ac:dyDescent="0.45">
      <c r="A23" s="29" t="s">
        <v>1194</v>
      </c>
      <c r="B23" s="10" t="s">
        <v>144</v>
      </c>
      <c r="C23" s="10" t="s">
        <v>144</v>
      </c>
      <c r="D23" s="10" t="s">
        <v>8</v>
      </c>
      <c r="E23" s="30"/>
      <c r="F23" s="30"/>
      <c r="G23" s="30"/>
      <c r="H23" s="30"/>
    </row>
    <row r="24" spans="1:8" ht="21" customHeight="1" x14ac:dyDescent="0.45">
      <c r="A24" s="29" t="s">
        <v>1195</v>
      </c>
      <c r="B24" s="10" t="s">
        <v>1232</v>
      </c>
      <c r="C24" s="10" t="s">
        <v>1232</v>
      </c>
      <c r="D24" s="10" t="s">
        <v>8</v>
      </c>
      <c r="E24" s="30"/>
      <c r="F24" s="30"/>
      <c r="G24" s="30"/>
      <c r="H24" s="30"/>
    </row>
    <row r="25" spans="1:8" ht="21" customHeight="1" x14ac:dyDescent="0.45">
      <c r="A25" s="29" t="s">
        <v>1196</v>
      </c>
      <c r="B25" s="10" t="s">
        <v>1232</v>
      </c>
      <c r="C25" s="10" t="s">
        <v>1232</v>
      </c>
      <c r="D25" s="10" t="s">
        <v>8</v>
      </c>
      <c r="E25" s="30"/>
      <c r="F25" s="30"/>
      <c r="G25" s="30"/>
      <c r="H25" s="30"/>
    </row>
  </sheetData>
  <pageMargins left="0.7" right="0.7" top="0.78749999999999998" bottom="0.78749999999999998" header="0.511811023622047" footer="0.511811023622047"/>
  <pageSetup paperSize="9" orientation="portrait" horizontalDpi="300" verticalDpi="300"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5"/>
  <sheetViews>
    <sheetView zoomScale="70" zoomScaleNormal="70" workbookViewId="0">
      <selection activeCell="G9" sqref="G9"/>
    </sheetView>
  </sheetViews>
  <sheetFormatPr baseColWidth="10" defaultColWidth="10.33203125" defaultRowHeight="14.25" customHeight="1" x14ac:dyDescent="0.45"/>
  <cols>
    <col min="1" max="1" width="62.73046875" customWidth="1"/>
    <col min="2" max="2" width="31.46484375" customWidth="1"/>
    <col min="3" max="3" width="23.796875" customWidth="1"/>
    <col min="4" max="4" width="14.19921875" customWidth="1"/>
    <col min="5" max="5" width="7.53125" customWidth="1"/>
    <col min="6" max="6" width="14.59765625" customWidth="1"/>
    <col min="7" max="7" width="27.33203125" customWidth="1"/>
    <col min="8" max="8" width="8.06640625" customWidth="1"/>
  </cols>
  <sheetData>
    <row r="1" spans="1:8" ht="31.9" x14ac:dyDescent="0.65">
      <c r="A1" s="37" t="s">
        <v>626</v>
      </c>
      <c r="B1" s="53"/>
      <c r="C1" s="53"/>
      <c r="D1" s="53"/>
      <c r="E1" s="53"/>
      <c r="F1" s="53"/>
      <c r="G1" s="53"/>
      <c r="H1" s="53"/>
    </row>
    <row r="2" spans="1:8" ht="14.25" customHeight="1" x14ac:dyDescent="0.65">
      <c r="A2" s="53"/>
      <c r="B2" s="53"/>
      <c r="C2" s="53"/>
      <c r="D2" s="53"/>
      <c r="E2" s="53"/>
      <c r="F2" s="53"/>
      <c r="G2" s="53"/>
      <c r="H2" s="53"/>
    </row>
    <row r="3" spans="1:8" ht="21" x14ac:dyDescent="0.65">
      <c r="A3" s="53"/>
      <c r="B3" s="53"/>
      <c r="C3" s="53"/>
      <c r="D3" s="53"/>
      <c r="E3" s="53"/>
      <c r="F3" s="53"/>
      <c r="G3" s="53"/>
      <c r="H3" s="53"/>
    </row>
    <row r="4" spans="1:8" ht="14.25" customHeight="1" x14ac:dyDescent="0.65">
      <c r="A4" s="53"/>
      <c r="B4" s="53"/>
      <c r="C4" s="53"/>
      <c r="D4" s="53"/>
      <c r="E4" s="53"/>
      <c r="F4" s="53"/>
      <c r="G4" s="53"/>
      <c r="H4" s="53"/>
    </row>
    <row r="5" spans="1:8" ht="21" x14ac:dyDescent="0.65">
      <c r="A5" s="13" t="s">
        <v>1</v>
      </c>
      <c r="B5" s="14" t="s">
        <v>2</v>
      </c>
      <c r="C5" s="14" t="s">
        <v>3</v>
      </c>
      <c r="D5" s="14" t="s">
        <v>4</v>
      </c>
      <c r="E5" s="53"/>
      <c r="F5" s="14" t="s">
        <v>5</v>
      </c>
      <c r="G5" s="14" t="s">
        <v>3</v>
      </c>
      <c r="H5" s="53"/>
    </row>
    <row r="6" spans="1:8" ht="21" x14ac:dyDescent="0.65">
      <c r="A6" s="29" t="s">
        <v>1197</v>
      </c>
      <c r="B6" s="10" t="s">
        <v>144</v>
      </c>
      <c r="C6" s="10" t="s">
        <v>144</v>
      </c>
      <c r="D6" s="10" t="s">
        <v>8</v>
      </c>
      <c r="E6" s="53"/>
      <c r="F6" s="43">
        <f>COUNTIF(C4:C49,G6)</f>
        <v>13</v>
      </c>
      <c r="G6" s="45" t="s">
        <v>144</v>
      </c>
      <c r="H6" s="53"/>
    </row>
    <row r="7" spans="1:8" ht="21" x14ac:dyDescent="0.65">
      <c r="A7" s="29" t="s">
        <v>1198</v>
      </c>
      <c r="B7" s="10" t="s">
        <v>144</v>
      </c>
      <c r="C7" s="10" t="s">
        <v>144</v>
      </c>
      <c r="D7" s="10" t="s">
        <v>8</v>
      </c>
      <c r="E7" s="53"/>
      <c r="F7" s="43">
        <f>COUNTIF(C5:C50,G7)</f>
        <v>4</v>
      </c>
      <c r="G7" s="45" t="s">
        <v>922</v>
      </c>
      <c r="H7" s="53"/>
    </row>
    <row r="8" spans="1:8" ht="21" x14ac:dyDescent="0.65">
      <c r="A8" s="29" t="s">
        <v>1199</v>
      </c>
      <c r="B8" s="10" t="s">
        <v>1232</v>
      </c>
      <c r="C8" s="10" t="s">
        <v>1232</v>
      </c>
      <c r="D8" s="10" t="s">
        <v>8</v>
      </c>
      <c r="E8" s="53"/>
      <c r="F8" s="43">
        <f>COUNTIF(C5:C50,G8)</f>
        <v>2</v>
      </c>
      <c r="G8" s="45" t="s">
        <v>1232</v>
      </c>
      <c r="H8" s="53"/>
    </row>
    <row r="9" spans="1:8" ht="21" x14ac:dyDescent="0.65">
      <c r="A9" s="29" t="s">
        <v>1200</v>
      </c>
      <c r="B9" s="10" t="s">
        <v>1232</v>
      </c>
      <c r="C9" s="10" t="s">
        <v>1232</v>
      </c>
      <c r="D9" s="10" t="s">
        <v>8</v>
      </c>
      <c r="E9" s="53"/>
      <c r="F9" s="43">
        <f>COUNTIF(C6:C51,G9)</f>
        <v>1</v>
      </c>
      <c r="G9" s="45" t="s">
        <v>1233</v>
      </c>
      <c r="H9" s="53"/>
    </row>
    <row r="10" spans="1:8" ht="21" x14ac:dyDescent="0.65">
      <c r="A10" s="29" t="s">
        <v>1201</v>
      </c>
      <c r="B10" s="10" t="s">
        <v>144</v>
      </c>
      <c r="C10" s="10" t="s">
        <v>144</v>
      </c>
      <c r="D10" s="10" t="s">
        <v>8</v>
      </c>
      <c r="E10" s="53"/>
      <c r="F10" s="55">
        <f>SUM(F6:F9)</f>
        <v>20</v>
      </c>
      <c r="G10" s="51"/>
      <c r="H10" s="53"/>
    </row>
    <row r="11" spans="1:8" ht="21" x14ac:dyDescent="0.65">
      <c r="A11" s="29" t="s">
        <v>1202</v>
      </c>
      <c r="B11" s="10" t="s">
        <v>144</v>
      </c>
      <c r="C11" s="10" t="s">
        <v>144</v>
      </c>
      <c r="D11" s="10" t="s">
        <v>8</v>
      </c>
      <c r="E11" s="53"/>
      <c r="F11" s="53"/>
      <c r="G11" s="53"/>
      <c r="H11" s="53"/>
    </row>
    <row r="12" spans="1:8" ht="21" x14ac:dyDescent="0.65">
      <c r="A12" s="29" t="s">
        <v>1203</v>
      </c>
      <c r="B12" s="10" t="s">
        <v>144</v>
      </c>
      <c r="C12" s="10" t="s">
        <v>144</v>
      </c>
      <c r="D12" s="10" t="s">
        <v>8</v>
      </c>
      <c r="E12" s="53"/>
      <c r="F12" s="53"/>
      <c r="G12" s="53"/>
      <c r="H12" s="53"/>
    </row>
    <row r="13" spans="1:8" ht="21" x14ac:dyDescent="0.65">
      <c r="A13" s="29" t="s">
        <v>922</v>
      </c>
      <c r="B13" s="10" t="s">
        <v>922</v>
      </c>
      <c r="C13" s="10" t="s">
        <v>922</v>
      </c>
      <c r="D13" s="10" t="s">
        <v>8</v>
      </c>
      <c r="E13" s="53"/>
      <c r="F13" s="53"/>
      <c r="G13" s="53"/>
      <c r="H13" s="53"/>
    </row>
    <row r="14" spans="1:8" ht="21" x14ac:dyDescent="0.65">
      <c r="A14" s="29" t="s">
        <v>1204</v>
      </c>
      <c r="B14" s="10" t="s">
        <v>144</v>
      </c>
      <c r="C14" s="10" t="s">
        <v>144</v>
      </c>
      <c r="D14" s="10" t="s">
        <v>8</v>
      </c>
      <c r="E14" s="53"/>
      <c r="F14" s="53"/>
      <c r="G14" s="53"/>
      <c r="H14" s="53"/>
    </row>
    <row r="15" spans="1:8" ht="21" x14ac:dyDescent="0.65">
      <c r="A15" s="29" t="s">
        <v>52</v>
      </c>
      <c r="B15" s="10" t="s">
        <v>144</v>
      </c>
      <c r="C15" s="10" t="s">
        <v>144</v>
      </c>
      <c r="D15" s="10" t="s">
        <v>8</v>
      </c>
      <c r="E15" s="53"/>
      <c r="F15" s="53"/>
      <c r="G15" s="53"/>
      <c r="H15" s="53"/>
    </row>
    <row r="16" spans="1:8" ht="21" x14ac:dyDescent="0.65">
      <c r="A16" s="29" t="s">
        <v>1205</v>
      </c>
      <c r="B16" s="10" t="s">
        <v>1233</v>
      </c>
      <c r="C16" s="10" t="s">
        <v>1233</v>
      </c>
      <c r="D16" s="10" t="s">
        <v>8</v>
      </c>
      <c r="E16" s="53"/>
      <c r="F16" s="53"/>
      <c r="G16" s="53"/>
      <c r="H16" s="53"/>
    </row>
    <row r="17" spans="1:8" ht="21" x14ac:dyDescent="0.65">
      <c r="A17" s="29" t="s">
        <v>1206</v>
      </c>
      <c r="B17" s="10" t="s">
        <v>144</v>
      </c>
      <c r="C17" s="10" t="s">
        <v>144</v>
      </c>
      <c r="D17" s="10" t="s">
        <v>8</v>
      </c>
      <c r="E17" s="53"/>
      <c r="F17" s="53"/>
      <c r="G17" s="53"/>
      <c r="H17" s="53"/>
    </row>
    <row r="18" spans="1:8" ht="21" x14ac:dyDescent="0.65">
      <c r="A18" s="29" t="s">
        <v>1207</v>
      </c>
      <c r="B18" s="10" t="s">
        <v>144</v>
      </c>
      <c r="C18" s="10" t="s">
        <v>144</v>
      </c>
      <c r="D18" s="10" t="s">
        <v>8</v>
      </c>
      <c r="E18" s="53"/>
      <c r="F18" s="53"/>
      <c r="G18" s="53"/>
      <c r="H18" s="53"/>
    </row>
    <row r="19" spans="1:8" ht="21" x14ac:dyDescent="0.65">
      <c r="A19" s="29" t="s">
        <v>1208</v>
      </c>
      <c r="B19" s="10" t="s">
        <v>144</v>
      </c>
      <c r="C19" s="10" t="s">
        <v>144</v>
      </c>
      <c r="D19" s="10" t="s">
        <v>8</v>
      </c>
      <c r="E19" s="53"/>
      <c r="F19" s="53"/>
      <c r="G19" s="53"/>
      <c r="H19" s="53"/>
    </row>
    <row r="20" spans="1:8" ht="21" x14ac:dyDescent="0.65">
      <c r="A20" s="29" t="s">
        <v>1209</v>
      </c>
      <c r="B20" s="10" t="s">
        <v>144</v>
      </c>
      <c r="C20" s="10" t="s">
        <v>144</v>
      </c>
      <c r="D20" s="10" t="s">
        <v>8</v>
      </c>
      <c r="E20" s="53"/>
      <c r="F20" s="53"/>
      <c r="G20" s="53"/>
      <c r="H20" s="53"/>
    </row>
    <row r="21" spans="1:8" ht="21" x14ac:dyDescent="0.65">
      <c r="A21" s="29" t="s">
        <v>1210</v>
      </c>
      <c r="B21" s="10" t="s">
        <v>144</v>
      </c>
      <c r="C21" s="10" t="s">
        <v>144</v>
      </c>
      <c r="D21" s="10" t="s">
        <v>8</v>
      </c>
      <c r="E21" s="53"/>
      <c r="F21" s="53"/>
      <c r="G21" s="53"/>
      <c r="H21" s="53"/>
    </row>
    <row r="22" spans="1:8" ht="21" x14ac:dyDescent="0.65">
      <c r="A22" s="29" t="s">
        <v>922</v>
      </c>
      <c r="B22" s="10" t="s">
        <v>922</v>
      </c>
      <c r="C22" s="10" t="s">
        <v>922</v>
      </c>
      <c r="D22" s="10" t="s">
        <v>8</v>
      </c>
      <c r="E22" s="53"/>
      <c r="F22" s="53"/>
      <c r="G22" s="53"/>
      <c r="H22" s="53"/>
    </row>
    <row r="23" spans="1:8" ht="21" x14ac:dyDescent="0.65">
      <c r="A23" s="29" t="s">
        <v>1211</v>
      </c>
      <c r="B23" s="10" t="s">
        <v>144</v>
      </c>
      <c r="C23" s="10" t="s">
        <v>144</v>
      </c>
      <c r="D23" s="10" t="s">
        <v>8</v>
      </c>
      <c r="E23" s="53"/>
      <c r="F23" s="53"/>
      <c r="G23" s="53"/>
      <c r="H23" s="53"/>
    </row>
    <row r="24" spans="1:8" ht="21" x14ac:dyDescent="0.65">
      <c r="A24" s="29" t="s">
        <v>922</v>
      </c>
      <c r="B24" s="10" t="s">
        <v>922</v>
      </c>
      <c r="C24" s="10" t="s">
        <v>922</v>
      </c>
      <c r="D24" s="10" t="s">
        <v>8</v>
      </c>
      <c r="E24" s="53"/>
      <c r="F24" s="53"/>
      <c r="G24" s="53"/>
      <c r="H24" s="53"/>
    </row>
    <row r="25" spans="1:8" ht="21" x14ac:dyDescent="0.65">
      <c r="A25" s="29" t="s">
        <v>922</v>
      </c>
      <c r="B25" s="10" t="s">
        <v>922</v>
      </c>
      <c r="C25" s="10" t="s">
        <v>922</v>
      </c>
      <c r="D25" s="10" t="s">
        <v>8</v>
      </c>
      <c r="E25" s="53"/>
      <c r="F25" s="53"/>
      <c r="G25" s="53"/>
      <c r="H25" s="53"/>
    </row>
  </sheetData>
  <pageMargins left="0.7" right="0.7" top="0.78749999999999998" bottom="0.78749999999999998" header="0.511811023622047" footer="0.511811023622047"/>
  <pageSetup paperSize="9" orientation="portrait" horizontalDpi="300" verticalDpi="300"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5"/>
  <sheetViews>
    <sheetView zoomScale="70" zoomScaleNormal="70" workbookViewId="0">
      <selection activeCell="A2" sqref="A2"/>
    </sheetView>
  </sheetViews>
  <sheetFormatPr baseColWidth="10" defaultColWidth="10.33203125" defaultRowHeight="14.25" customHeight="1" x14ac:dyDescent="0.45"/>
  <cols>
    <col min="1" max="1" width="64.33203125" customWidth="1"/>
    <col min="2" max="2" width="27.73046875" customWidth="1"/>
    <col min="3" max="3" width="24.73046875" customWidth="1"/>
    <col min="4" max="4" width="13.73046875" customWidth="1"/>
    <col min="5" max="5" width="8.06640625" customWidth="1"/>
    <col min="6" max="6" width="13.59765625" customWidth="1"/>
    <col min="7" max="7" width="25.59765625" customWidth="1"/>
    <col min="8" max="8" width="8" customWidth="1"/>
  </cols>
  <sheetData>
    <row r="1" spans="1:8" ht="31.9" x14ac:dyDescent="0.65">
      <c r="A1" s="37" t="s">
        <v>1488</v>
      </c>
      <c r="B1" s="53"/>
      <c r="C1" s="53"/>
      <c r="D1" s="53"/>
      <c r="E1" s="53"/>
      <c r="F1" s="53"/>
      <c r="G1" s="53"/>
      <c r="H1" s="53"/>
    </row>
    <row r="2" spans="1:8" ht="14.25" customHeight="1" x14ac:dyDescent="0.65">
      <c r="A2" s="53"/>
      <c r="B2" s="53"/>
      <c r="C2" s="53"/>
      <c r="D2" s="53"/>
      <c r="E2" s="53"/>
      <c r="F2" s="53"/>
      <c r="G2" s="53"/>
      <c r="H2" s="53"/>
    </row>
    <row r="3" spans="1:8" ht="21" x14ac:dyDescent="0.65">
      <c r="A3" s="53"/>
      <c r="B3" s="53"/>
      <c r="C3" s="53"/>
      <c r="D3" s="53"/>
      <c r="E3" s="53"/>
      <c r="F3" s="53"/>
      <c r="G3" s="53"/>
      <c r="H3" s="53"/>
    </row>
    <row r="4" spans="1:8" ht="14.25" customHeight="1" x14ac:dyDescent="0.65">
      <c r="A4" s="53"/>
      <c r="B4" s="53"/>
      <c r="C4" s="53"/>
      <c r="D4" s="53"/>
      <c r="E4" s="53"/>
      <c r="F4" s="53"/>
      <c r="G4" s="53"/>
      <c r="H4" s="53"/>
    </row>
    <row r="5" spans="1:8" ht="21" x14ac:dyDescent="0.65">
      <c r="A5" s="13" t="s">
        <v>1</v>
      </c>
      <c r="B5" s="14" t="s">
        <v>2</v>
      </c>
      <c r="C5" s="14" t="s">
        <v>3</v>
      </c>
      <c r="D5" s="14" t="s">
        <v>4</v>
      </c>
      <c r="E5" s="53"/>
      <c r="F5" s="14" t="s">
        <v>5</v>
      </c>
      <c r="G5" s="14" t="s">
        <v>3</v>
      </c>
      <c r="H5" s="53"/>
    </row>
    <row r="6" spans="1:8" ht="21" customHeight="1" x14ac:dyDescent="0.65">
      <c r="A6" s="29" t="s">
        <v>1212</v>
      </c>
      <c r="B6" s="10" t="s">
        <v>1230</v>
      </c>
      <c r="C6" s="10" t="s">
        <v>1230</v>
      </c>
      <c r="D6" s="10" t="s">
        <v>8</v>
      </c>
      <c r="E6" s="53"/>
      <c r="F6" s="43">
        <f>COUNTIF(C4:C48,G6)</f>
        <v>13</v>
      </c>
      <c r="G6" s="45" t="s">
        <v>1230</v>
      </c>
      <c r="H6" s="53"/>
    </row>
    <row r="7" spans="1:8" ht="21" customHeight="1" x14ac:dyDescent="0.65">
      <c r="A7" s="29" t="s">
        <v>1213</v>
      </c>
      <c r="B7" s="10" t="s">
        <v>1221</v>
      </c>
      <c r="C7" s="10" t="s">
        <v>1221</v>
      </c>
      <c r="D7" s="10" t="s">
        <v>8</v>
      </c>
      <c r="E7" s="53"/>
      <c r="F7" s="43">
        <f>COUNTIF(C5:C49,G7)</f>
        <v>5</v>
      </c>
      <c r="G7" s="45" t="s">
        <v>1221</v>
      </c>
      <c r="H7" s="53"/>
    </row>
    <row r="8" spans="1:8" ht="21" customHeight="1" x14ac:dyDescent="0.65">
      <c r="A8" s="29" t="s">
        <v>1214</v>
      </c>
      <c r="B8" s="10" t="s">
        <v>1230</v>
      </c>
      <c r="C8" s="10" t="s">
        <v>1230</v>
      </c>
      <c r="D8" s="10" t="s">
        <v>8</v>
      </c>
      <c r="E8" s="53"/>
      <c r="F8" s="43">
        <f>COUNTIF(C5:C49,G8)</f>
        <v>2</v>
      </c>
      <c r="G8" s="45" t="s">
        <v>922</v>
      </c>
      <c r="H8" s="53"/>
    </row>
    <row r="9" spans="1:8" ht="21" customHeight="1" x14ac:dyDescent="0.65">
      <c r="A9" s="29" t="s">
        <v>1215</v>
      </c>
      <c r="B9" s="10" t="s">
        <v>1230</v>
      </c>
      <c r="C9" s="10" t="s">
        <v>1230</v>
      </c>
      <c r="D9" s="10" t="s">
        <v>8</v>
      </c>
      <c r="E9" s="53"/>
      <c r="F9" s="55">
        <f>SUM(F6:F8)</f>
        <v>20</v>
      </c>
      <c r="G9" s="51"/>
      <c r="H9" s="53"/>
    </row>
    <row r="10" spans="1:8" ht="21" customHeight="1" x14ac:dyDescent="0.65">
      <c r="A10" s="29" t="s">
        <v>1216</v>
      </c>
      <c r="B10" s="10" t="s">
        <v>1230</v>
      </c>
      <c r="C10" s="10" t="s">
        <v>1230</v>
      </c>
      <c r="D10" s="10" t="s">
        <v>8</v>
      </c>
      <c r="E10" s="53"/>
      <c r="F10" s="53"/>
      <c r="G10" s="53"/>
      <c r="H10" s="53"/>
    </row>
    <row r="11" spans="1:8" ht="21" customHeight="1" x14ac:dyDescent="0.65">
      <c r="A11" s="29" t="s">
        <v>1217</v>
      </c>
      <c r="B11" s="10" t="s">
        <v>1230</v>
      </c>
      <c r="C11" s="10" t="s">
        <v>1230</v>
      </c>
      <c r="D11" s="10" t="s">
        <v>8</v>
      </c>
      <c r="E11" s="53"/>
      <c r="F11" s="53"/>
      <c r="G11" s="53"/>
      <c r="H11" s="53"/>
    </row>
    <row r="12" spans="1:8" ht="21" customHeight="1" x14ac:dyDescent="0.65">
      <c r="A12" s="29" t="s">
        <v>1218</v>
      </c>
      <c r="B12" s="10" t="s">
        <v>922</v>
      </c>
      <c r="C12" s="10" t="s">
        <v>922</v>
      </c>
      <c r="D12" s="10" t="s">
        <v>8</v>
      </c>
      <c r="E12" s="53"/>
      <c r="F12" s="53"/>
      <c r="G12" s="53"/>
      <c r="H12" s="53"/>
    </row>
    <row r="13" spans="1:8" ht="21" customHeight="1" x14ac:dyDescent="0.65">
      <c r="A13" s="29" t="s">
        <v>1219</v>
      </c>
      <c r="B13" s="10" t="s">
        <v>1230</v>
      </c>
      <c r="C13" s="10" t="s">
        <v>1230</v>
      </c>
      <c r="D13" s="10" t="s">
        <v>8</v>
      </c>
      <c r="E13" s="53"/>
      <c r="F13" s="53"/>
      <c r="G13" s="53"/>
      <c r="H13" s="53"/>
    </row>
    <row r="14" spans="1:8" ht="21" customHeight="1" x14ac:dyDescent="0.65">
      <c r="A14" s="29" t="s">
        <v>922</v>
      </c>
      <c r="B14" s="10" t="s">
        <v>922</v>
      </c>
      <c r="C14" s="10" t="s">
        <v>922</v>
      </c>
      <c r="D14" s="10" t="s">
        <v>8</v>
      </c>
      <c r="E14" s="53"/>
      <c r="F14" s="53"/>
      <c r="G14" s="53"/>
      <c r="H14" s="53"/>
    </row>
    <row r="15" spans="1:8" ht="21" customHeight="1" x14ac:dyDescent="0.65">
      <c r="A15" s="29" t="s">
        <v>1220</v>
      </c>
      <c r="B15" s="10" t="s">
        <v>1230</v>
      </c>
      <c r="C15" s="10" t="s">
        <v>1230</v>
      </c>
      <c r="D15" s="10" t="s">
        <v>8</v>
      </c>
      <c r="E15" s="53"/>
      <c r="F15" s="53"/>
      <c r="G15" s="53"/>
      <c r="H15" s="53"/>
    </row>
    <row r="16" spans="1:8" ht="21" customHeight="1" x14ac:dyDescent="0.65">
      <c r="A16" s="29" t="s">
        <v>1221</v>
      </c>
      <c r="B16" s="10" t="s">
        <v>1221</v>
      </c>
      <c r="C16" s="10" t="s">
        <v>1221</v>
      </c>
      <c r="D16" s="10" t="s">
        <v>8</v>
      </c>
      <c r="E16" s="53"/>
      <c r="F16" s="53"/>
      <c r="G16" s="53"/>
      <c r="H16" s="53"/>
    </row>
    <row r="17" spans="1:8" ht="21" customHeight="1" x14ac:dyDescent="0.65">
      <c r="A17" s="29" t="s">
        <v>1222</v>
      </c>
      <c r="B17" s="10" t="s">
        <v>1230</v>
      </c>
      <c r="C17" s="10" t="s">
        <v>1230</v>
      </c>
      <c r="D17" s="10" t="s">
        <v>8</v>
      </c>
      <c r="E17" s="53"/>
      <c r="F17" s="53"/>
      <c r="G17" s="53"/>
      <c r="H17" s="53"/>
    </row>
    <row r="18" spans="1:8" ht="21" customHeight="1" x14ac:dyDescent="0.65">
      <c r="A18" s="29" t="s">
        <v>1223</v>
      </c>
      <c r="B18" s="10" t="s">
        <v>1221</v>
      </c>
      <c r="C18" s="10" t="s">
        <v>1221</v>
      </c>
      <c r="D18" s="10" t="s">
        <v>8</v>
      </c>
      <c r="E18" s="53"/>
      <c r="F18" s="53"/>
      <c r="G18" s="53"/>
      <c r="H18" s="53"/>
    </row>
    <row r="19" spans="1:8" ht="21" customHeight="1" x14ac:dyDescent="0.65">
      <c r="A19" s="29" t="s">
        <v>1224</v>
      </c>
      <c r="B19" s="10" t="s">
        <v>1231</v>
      </c>
      <c r="C19" s="10" t="s">
        <v>1221</v>
      </c>
      <c r="D19" s="10" t="s">
        <v>8</v>
      </c>
      <c r="E19" s="53"/>
      <c r="F19" s="53"/>
      <c r="G19" s="53"/>
      <c r="H19" s="53"/>
    </row>
    <row r="20" spans="1:8" ht="21" customHeight="1" x14ac:dyDescent="0.65">
      <c r="A20" s="29" t="s">
        <v>1225</v>
      </c>
      <c r="B20" s="10" t="s">
        <v>1230</v>
      </c>
      <c r="C20" s="10" t="s">
        <v>1230</v>
      </c>
      <c r="D20" s="10" t="s">
        <v>8</v>
      </c>
      <c r="E20" s="53"/>
      <c r="F20" s="53"/>
      <c r="G20" s="53"/>
      <c r="H20" s="53"/>
    </row>
    <row r="21" spans="1:8" ht="21" customHeight="1" x14ac:dyDescent="0.65">
      <c r="A21" s="29" t="s">
        <v>1226</v>
      </c>
      <c r="B21" s="10" t="s">
        <v>1230</v>
      </c>
      <c r="C21" s="10" t="s">
        <v>1230</v>
      </c>
      <c r="D21" s="10" t="s">
        <v>8</v>
      </c>
      <c r="E21" s="53"/>
      <c r="F21" s="53"/>
      <c r="G21" s="53"/>
      <c r="H21" s="53"/>
    </row>
    <row r="22" spans="1:8" ht="21" customHeight="1" x14ac:dyDescent="0.65">
      <c r="A22" s="29" t="s">
        <v>1227</v>
      </c>
      <c r="B22" s="10" t="s">
        <v>1230</v>
      </c>
      <c r="C22" s="10" t="s">
        <v>1230</v>
      </c>
      <c r="D22" s="10" t="s">
        <v>8</v>
      </c>
      <c r="E22" s="53"/>
      <c r="F22" s="53"/>
      <c r="G22" s="53"/>
      <c r="H22" s="53"/>
    </row>
    <row r="23" spans="1:8" ht="21" customHeight="1" x14ac:dyDescent="0.65">
      <c r="A23" s="29" t="s">
        <v>1221</v>
      </c>
      <c r="B23" s="10" t="s">
        <v>1221</v>
      </c>
      <c r="C23" s="10" t="s">
        <v>1221</v>
      </c>
      <c r="D23" s="10" t="s">
        <v>8</v>
      </c>
      <c r="E23" s="53"/>
      <c r="F23" s="53"/>
      <c r="G23" s="53"/>
      <c r="H23" s="53"/>
    </row>
    <row r="24" spans="1:8" ht="21" customHeight="1" x14ac:dyDescent="0.65">
      <c r="A24" s="29" t="s">
        <v>1228</v>
      </c>
      <c r="B24" s="10" t="s">
        <v>1230</v>
      </c>
      <c r="C24" s="10" t="s">
        <v>1230</v>
      </c>
      <c r="D24" s="10" t="s">
        <v>8</v>
      </c>
      <c r="E24" s="53"/>
      <c r="F24" s="53"/>
      <c r="G24" s="53"/>
      <c r="H24" s="53"/>
    </row>
    <row r="25" spans="1:8" ht="21" customHeight="1" x14ac:dyDescent="0.65">
      <c r="A25" s="29" t="s">
        <v>1229</v>
      </c>
      <c r="B25" s="10" t="s">
        <v>1230</v>
      </c>
      <c r="C25" s="10" t="s">
        <v>1230</v>
      </c>
      <c r="D25" s="10" t="s">
        <v>8</v>
      </c>
      <c r="E25" s="53"/>
      <c r="F25" s="53"/>
      <c r="G25" s="53"/>
      <c r="H25" s="53"/>
    </row>
  </sheetData>
  <pageMargins left="0.7" right="0.7" top="0.78749999999999998" bottom="0.78749999999999998" header="0.511811023622047" footer="0.511811023622047"/>
  <pageSetup paperSize="9" orientation="portrait" horizontalDpi="300" verticalDpi="300"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5"/>
  <sheetViews>
    <sheetView zoomScale="70" zoomScaleNormal="70" workbookViewId="0">
      <selection activeCell="A2" sqref="A2"/>
    </sheetView>
  </sheetViews>
  <sheetFormatPr baseColWidth="10" defaultColWidth="10.33203125" defaultRowHeight="14.25" customHeight="1" x14ac:dyDescent="0.45"/>
  <cols>
    <col min="1" max="1" width="64.33203125" customWidth="1"/>
    <col min="2" max="2" width="27.73046875" customWidth="1"/>
    <col min="3" max="3" width="24.73046875" customWidth="1"/>
    <col min="4" max="4" width="14" customWidth="1"/>
    <col min="5" max="5" width="8.33203125" customWidth="1"/>
    <col min="6" max="6" width="13.73046875" customWidth="1"/>
    <col min="7" max="7" width="25" customWidth="1"/>
    <col min="8" max="8" width="8.06640625" customWidth="1"/>
  </cols>
  <sheetData>
    <row r="1" spans="1:8" ht="31.9" x14ac:dyDescent="0.65">
      <c r="A1" s="37" t="s">
        <v>1489</v>
      </c>
      <c r="B1" s="53"/>
      <c r="C1" s="53"/>
      <c r="D1" s="53"/>
      <c r="E1" s="53"/>
      <c r="F1" s="53"/>
      <c r="G1" s="53"/>
      <c r="H1" s="53"/>
    </row>
    <row r="2" spans="1:8" ht="14.25" customHeight="1" x14ac:dyDescent="0.65">
      <c r="A2" s="53"/>
      <c r="B2" s="53"/>
      <c r="C2" s="53"/>
      <c r="D2" s="53"/>
      <c r="E2" s="53"/>
      <c r="F2" s="53"/>
      <c r="G2" s="53"/>
      <c r="H2" s="53"/>
    </row>
    <row r="3" spans="1:8" ht="21" x14ac:dyDescent="0.65">
      <c r="A3" s="53"/>
      <c r="B3" s="53"/>
      <c r="C3" s="53"/>
      <c r="D3" s="53"/>
      <c r="E3" s="53"/>
      <c r="F3" s="53"/>
      <c r="G3" s="53"/>
      <c r="H3" s="53"/>
    </row>
    <row r="4" spans="1:8" ht="14.25" customHeight="1" x14ac:dyDescent="0.65">
      <c r="A4" s="53"/>
      <c r="B4" s="53"/>
      <c r="C4" s="53"/>
      <c r="D4" s="53"/>
      <c r="E4" s="53"/>
      <c r="F4" s="53"/>
      <c r="G4" s="53"/>
      <c r="H4" s="53"/>
    </row>
    <row r="5" spans="1:8" ht="21" x14ac:dyDescent="0.65">
      <c r="A5" s="13" t="s">
        <v>1</v>
      </c>
      <c r="B5" s="14" t="s">
        <v>2</v>
      </c>
      <c r="C5" s="14" t="s">
        <v>3</v>
      </c>
      <c r="D5" s="14" t="s">
        <v>4</v>
      </c>
      <c r="E5" s="53"/>
      <c r="F5" s="14" t="s">
        <v>5</v>
      </c>
      <c r="G5" s="14" t="s">
        <v>3</v>
      </c>
      <c r="H5" s="53"/>
    </row>
    <row r="6" spans="1:8" ht="21" customHeight="1" x14ac:dyDescent="0.65">
      <c r="A6" s="29" t="s">
        <v>1248</v>
      </c>
      <c r="B6" s="10" t="s">
        <v>1230</v>
      </c>
      <c r="C6" s="10" t="s">
        <v>1230</v>
      </c>
      <c r="D6" s="10" t="s">
        <v>8</v>
      </c>
      <c r="E6" s="53"/>
      <c r="F6" s="43">
        <f>COUNTIF(C4:C49,G6)</f>
        <v>12</v>
      </c>
      <c r="G6" s="45" t="s">
        <v>1230</v>
      </c>
      <c r="H6" s="53"/>
    </row>
    <row r="7" spans="1:8" ht="21" customHeight="1" x14ac:dyDescent="0.65">
      <c r="A7" s="29" t="s">
        <v>1247</v>
      </c>
      <c r="B7" s="10" t="s">
        <v>1230</v>
      </c>
      <c r="C7" s="10" t="s">
        <v>1230</v>
      </c>
      <c r="D7" s="10" t="s">
        <v>8</v>
      </c>
      <c r="E7" s="53"/>
      <c r="F7" s="43">
        <f>COUNTIF(C5:C50,G7)</f>
        <v>6</v>
      </c>
      <c r="G7" s="45" t="s">
        <v>1221</v>
      </c>
      <c r="H7" s="53"/>
    </row>
    <row r="8" spans="1:8" ht="21" customHeight="1" x14ac:dyDescent="0.65">
      <c r="A8" s="29" t="s">
        <v>1246</v>
      </c>
      <c r="B8" s="10" t="s">
        <v>1230</v>
      </c>
      <c r="C8" s="10" t="s">
        <v>1230</v>
      </c>
      <c r="D8" s="10" t="s">
        <v>8</v>
      </c>
      <c r="E8" s="53"/>
      <c r="F8" s="43">
        <f>COUNTIF(C5:C50,G8)</f>
        <v>2</v>
      </c>
      <c r="G8" s="45" t="s">
        <v>1252</v>
      </c>
      <c r="H8" s="53"/>
    </row>
    <row r="9" spans="1:8" ht="21" customHeight="1" x14ac:dyDescent="0.65">
      <c r="A9" s="29" t="s">
        <v>1251</v>
      </c>
      <c r="B9" s="10" t="s">
        <v>1230</v>
      </c>
      <c r="C9" s="10" t="s">
        <v>1230</v>
      </c>
      <c r="D9" s="10" t="s">
        <v>8</v>
      </c>
      <c r="E9" s="53"/>
      <c r="F9" s="55">
        <f>SUM(F6:F8)</f>
        <v>20</v>
      </c>
      <c r="G9" s="51"/>
      <c r="H9" s="53"/>
    </row>
    <row r="10" spans="1:8" ht="21" customHeight="1" x14ac:dyDescent="0.65">
      <c r="A10" s="29" t="s">
        <v>1235</v>
      </c>
      <c r="B10" s="10" t="s">
        <v>1221</v>
      </c>
      <c r="C10" s="10" t="s">
        <v>1221</v>
      </c>
      <c r="D10" s="10" t="s">
        <v>8</v>
      </c>
      <c r="E10" s="53"/>
      <c r="F10" s="53"/>
      <c r="G10" s="53"/>
      <c r="H10" s="53"/>
    </row>
    <row r="11" spans="1:8" ht="21" customHeight="1" x14ac:dyDescent="0.65">
      <c r="A11" s="29" t="s">
        <v>1236</v>
      </c>
      <c r="B11" s="10" t="s">
        <v>1230</v>
      </c>
      <c r="C11" s="10" t="s">
        <v>1230</v>
      </c>
      <c r="D11" s="10" t="s">
        <v>8</v>
      </c>
      <c r="E11" s="53"/>
      <c r="F11" s="53"/>
      <c r="G11" s="53"/>
      <c r="H11" s="53"/>
    </row>
    <row r="12" spans="1:8" ht="21" customHeight="1" x14ac:dyDescent="0.65">
      <c r="A12" s="29" t="s">
        <v>1234</v>
      </c>
      <c r="B12" s="10" t="s">
        <v>1230</v>
      </c>
      <c r="C12" s="10" t="s">
        <v>1230</v>
      </c>
      <c r="D12" s="10" t="s">
        <v>8</v>
      </c>
      <c r="E12" s="53"/>
      <c r="F12" s="53"/>
      <c r="G12" s="53"/>
      <c r="H12" s="53"/>
    </row>
    <row r="13" spans="1:8" ht="21" customHeight="1" x14ac:dyDescent="0.65">
      <c r="A13" s="29" t="s">
        <v>1249</v>
      </c>
      <c r="B13" s="10" t="s">
        <v>1230</v>
      </c>
      <c r="C13" s="10" t="s">
        <v>1230</v>
      </c>
      <c r="D13" s="10" t="s">
        <v>8</v>
      </c>
      <c r="E13" s="53"/>
      <c r="F13" s="53"/>
      <c r="G13" s="53"/>
      <c r="H13" s="53"/>
    </row>
    <row r="14" spans="1:8" ht="21" customHeight="1" x14ac:dyDescent="0.65">
      <c r="A14" s="29" t="s">
        <v>1221</v>
      </c>
      <c r="B14" s="10" t="s">
        <v>1221</v>
      </c>
      <c r="C14" s="10" t="s">
        <v>1221</v>
      </c>
      <c r="D14" s="10" t="s">
        <v>8</v>
      </c>
      <c r="E14" s="53"/>
      <c r="F14" s="53"/>
      <c r="G14" s="53"/>
      <c r="H14" s="53"/>
    </row>
    <row r="15" spans="1:8" ht="21" customHeight="1" x14ac:dyDescent="0.65">
      <c r="A15" s="29" t="s">
        <v>1237</v>
      </c>
      <c r="B15" s="10" t="s">
        <v>1230</v>
      </c>
      <c r="C15" s="10" t="s">
        <v>1230</v>
      </c>
      <c r="D15" s="10" t="s">
        <v>8</v>
      </c>
      <c r="E15" s="53"/>
      <c r="F15" s="53"/>
      <c r="G15" s="53"/>
      <c r="H15" s="53"/>
    </row>
    <row r="16" spans="1:8" ht="21" customHeight="1" x14ac:dyDescent="0.65">
      <c r="A16" s="29" t="s">
        <v>1238</v>
      </c>
      <c r="B16" s="10" t="s">
        <v>1252</v>
      </c>
      <c r="C16" s="10" t="s">
        <v>1252</v>
      </c>
      <c r="D16" s="10" t="s">
        <v>8</v>
      </c>
      <c r="E16" s="53"/>
      <c r="F16" s="53"/>
      <c r="G16" s="53"/>
      <c r="H16" s="53"/>
    </row>
    <row r="17" spans="1:8" ht="21" customHeight="1" x14ac:dyDescent="0.65">
      <c r="A17" s="29" t="s">
        <v>1239</v>
      </c>
      <c r="B17" s="10" t="s">
        <v>1252</v>
      </c>
      <c r="C17" s="10" t="s">
        <v>1252</v>
      </c>
      <c r="D17" s="10" t="s">
        <v>8</v>
      </c>
      <c r="E17" s="53"/>
      <c r="F17" s="53"/>
      <c r="G17" s="53"/>
      <c r="H17" s="53"/>
    </row>
    <row r="18" spans="1:8" ht="21" customHeight="1" x14ac:dyDescent="0.65">
      <c r="A18" s="29" t="s">
        <v>1240</v>
      </c>
      <c r="B18" s="10" t="s">
        <v>1221</v>
      </c>
      <c r="C18" s="10" t="s">
        <v>1221</v>
      </c>
      <c r="D18" s="10" t="s">
        <v>8</v>
      </c>
      <c r="E18" s="53"/>
      <c r="F18" s="53"/>
      <c r="G18" s="53"/>
      <c r="H18" s="53"/>
    </row>
    <row r="19" spans="1:8" ht="21" customHeight="1" x14ac:dyDescent="0.65">
      <c r="A19" s="29" t="s">
        <v>1241</v>
      </c>
      <c r="B19" s="10" t="s">
        <v>1230</v>
      </c>
      <c r="C19" s="10" t="s">
        <v>1230</v>
      </c>
      <c r="D19" s="10" t="s">
        <v>8</v>
      </c>
      <c r="E19" s="53"/>
      <c r="F19" s="53"/>
      <c r="G19" s="53"/>
      <c r="H19" s="53"/>
    </row>
    <row r="20" spans="1:8" ht="21" customHeight="1" x14ac:dyDescent="0.65">
      <c r="A20" s="29" t="s">
        <v>1242</v>
      </c>
      <c r="B20" s="10" t="s">
        <v>1230</v>
      </c>
      <c r="C20" s="10" t="s">
        <v>1230</v>
      </c>
      <c r="D20" s="10" t="s">
        <v>8</v>
      </c>
      <c r="E20" s="53"/>
      <c r="F20" s="53"/>
      <c r="G20" s="53"/>
      <c r="H20" s="53"/>
    </row>
    <row r="21" spans="1:8" ht="21" customHeight="1" x14ac:dyDescent="0.65">
      <c r="A21" s="29" t="s">
        <v>1243</v>
      </c>
      <c r="B21" s="10" t="s">
        <v>1221</v>
      </c>
      <c r="C21" s="10" t="s">
        <v>1221</v>
      </c>
      <c r="D21" s="10" t="s">
        <v>8</v>
      </c>
      <c r="E21" s="53"/>
      <c r="F21" s="53"/>
      <c r="G21" s="53"/>
      <c r="H21" s="53"/>
    </row>
    <row r="22" spans="1:8" ht="21" customHeight="1" x14ac:dyDescent="0.65">
      <c r="A22" s="29" t="s">
        <v>1244</v>
      </c>
      <c r="B22" s="10" t="s">
        <v>1221</v>
      </c>
      <c r="C22" s="10" t="s">
        <v>1221</v>
      </c>
      <c r="D22" s="10" t="s">
        <v>8</v>
      </c>
      <c r="E22" s="53"/>
      <c r="F22" s="53"/>
      <c r="G22" s="53"/>
      <c r="H22" s="53"/>
    </row>
    <row r="23" spans="1:8" ht="21" customHeight="1" x14ac:dyDescent="0.65">
      <c r="A23" s="29" t="s">
        <v>1245</v>
      </c>
      <c r="B23" s="10" t="s">
        <v>1230</v>
      </c>
      <c r="C23" s="10" t="s">
        <v>1230</v>
      </c>
      <c r="D23" s="10" t="s">
        <v>8</v>
      </c>
      <c r="E23" s="53"/>
      <c r="F23" s="53"/>
      <c r="G23" s="53"/>
      <c r="H23" s="53"/>
    </row>
    <row r="24" spans="1:8" ht="21" customHeight="1" x14ac:dyDescent="0.65">
      <c r="A24" s="29" t="s">
        <v>129</v>
      </c>
      <c r="B24" s="10" t="s">
        <v>1230</v>
      </c>
      <c r="C24" s="10" t="s">
        <v>1230</v>
      </c>
      <c r="D24" s="10" t="s">
        <v>8</v>
      </c>
      <c r="E24" s="53"/>
      <c r="F24" s="53"/>
      <c r="G24" s="53"/>
      <c r="H24" s="53"/>
    </row>
    <row r="25" spans="1:8" ht="21" customHeight="1" x14ac:dyDescent="0.65">
      <c r="A25" s="29" t="s">
        <v>1250</v>
      </c>
      <c r="B25" s="10" t="s">
        <v>1221</v>
      </c>
      <c r="C25" s="10" t="s">
        <v>1221</v>
      </c>
      <c r="D25" s="10" t="s">
        <v>8</v>
      </c>
      <c r="E25" s="53"/>
      <c r="F25" s="53"/>
      <c r="G25" s="53"/>
      <c r="H25" s="53"/>
    </row>
  </sheetData>
  <pageMargins left="0.7" right="0.7" top="0.78749999999999998" bottom="0.78749999999999998" header="0.511811023622047" footer="0.511811023622047"/>
  <pageSetup paperSize="9" orientation="portrait" horizontalDpi="300" verticalDpi="300"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1"/>
  <sheetViews>
    <sheetView zoomScale="70" zoomScaleNormal="70" workbookViewId="0">
      <selection activeCell="A25" sqref="A25"/>
    </sheetView>
  </sheetViews>
  <sheetFormatPr baseColWidth="10" defaultColWidth="10.33203125" defaultRowHeight="14.25" customHeight="1" x14ac:dyDescent="0.45"/>
  <cols>
    <col min="1" max="1" width="66.06640625" customWidth="1"/>
    <col min="2" max="2" width="35.73046875" customWidth="1"/>
    <col min="3" max="3" width="31.06640625" customWidth="1"/>
    <col min="4" max="4" width="25.265625" customWidth="1"/>
    <col min="5" max="5" width="15.73046875" customWidth="1"/>
    <col min="8" max="8" width="16.06640625" customWidth="1"/>
    <col min="9" max="9" width="63.73046875" customWidth="1"/>
  </cols>
  <sheetData>
    <row r="1" spans="1:10" ht="31.9" x14ac:dyDescent="0.65">
      <c r="A1" s="37" t="s">
        <v>627</v>
      </c>
      <c r="B1" s="53"/>
      <c r="C1" s="53"/>
      <c r="D1" s="53"/>
      <c r="E1" s="53"/>
      <c r="F1" s="53"/>
      <c r="G1" s="53"/>
      <c r="H1" s="53"/>
      <c r="I1" s="53"/>
      <c r="J1" s="53"/>
    </row>
    <row r="2" spans="1:10" ht="14.25" customHeight="1" x14ac:dyDescent="0.65">
      <c r="A2" s="53"/>
      <c r="B2" s="53"/>
      <c r="C2" s="53"/>
      <c r="D2" s="53"/>
      <c r="E2" s="53"/>
      <c r="F2" s="53"/>
      <c r="G2" s="53"/>
      <c r="H2" s="53"/>
      <c r="I2" s="53"/>
      <c r="J2" s="53"/>
    </row>
    <row r="3" spans="1:10" ht="21" x14ac:dyDescent="0.65">
      <c r="A3" s="53"/>
      <c r="B3" s="53"/>
      <c r="C3" s="53"/>
      <c r="D3" s="53"/>
      <c r="E3" s="53"/>
      <c r="F3" s="53"/>
      <c r="G3" s="53"/>
      <c r="H3" s="53"/>
      <c r="I3" s="53"/>
      <c r="J3" s="53"/>
    </row>
    <row r="4" spans="1:10" ht="14.25" customHeight="1" x14ac:dyDescent="0.65">
      <c r="A4" s="53"/>
      <c r="B4" s="53"/>
      <c r="C4" s="53"/>
      <c r="D4" s="53"/>
      <c r="E4" s="53"/>
      <c r="F4" s="53"/>
      <c r="G4" s="53"/>
      <c r="H4" s="53"/>
      <c r="I4" s="53"/>
      <c r="J4" s="53"/>
    </row>
    <row r="5" spans="1:10" ht="21" x14ac:dyDescent="0.65">
      <c r="A5" s="13" t="s">
        <v>1</v>
      </c>
      <c r="B5" s="13" t="s">
        <v>130</v>
      </c>
      <c r="C5" s="13" t="s">
        <v>2</v>
      </c>
      <c r="D5" s="13" t="s">
        <v>3</v>
      </c>
      <c r="E5" s="13" t="s">
        <v>4</v>
      </c>
      <c r="F5" s="53"/>
      <c r="G5" s="53"/>
      <c r="H5" s="13" t="s">
        <v>5</v>
      </c>
      <c r="I5" s="13" t="s">
        <v>130</v>
      </c>
      <c r="J5" s="53"/>
    </row>
    <row r="6" spans="1:10" ht="21" x14ac:dyDescent="0.65">
      <c r="A6" s="4" t="s">
        <v>1253</v>
      </c>
      <c r="B6" s="4" t="s">
        <v>1286</v>
      </c>
      <c r="C6" s="29" t="s">
        <v>1299</v>
      </c>
      <c r="D6" s="29" t="s">
        <v>1299</v>
      </c>
      <c r="E6" s="29" t="s">
        <v>8</v>
      </c>
      <c r="F6" s="53"/>
      <c r="G6" s="53"/>
      <c r="H6" s="56">
        <v>23</v>
      </c>
      <c r="I6" s="3" t="s">
        <v>131</v>
      </c>
      <c r="J6" s="53"/>
    </row>
    <row r="7" spans="1:10" ht="21" x14ac:dyDescent="0.65">
      <c r="A7" s="3" t="s">
        <v>1254</v>
      </c>
      <c r="B7" s="3" t="s">
        <v>1233</v>
      </c>
      <c r="C7" s="29" t="s">
        <v>1233</v>
      </c>
      <c r="D7" s="29" t="s">
        <v>1233</v>
      </c>
      <c r="E7" s="29" t="s">
        <v>8</v>
      </c>
      <c r="F7" s="53"/>
      <c r="G7" s="53"/>
      <c r="H7" s="56">
        <v>6</v>
      </c>
      <c r="I7" s="4" t="s">
        <v>132</v>
      </c>
      <c r="J7" s="53"/>
    </row>
    <row r="8" spans="1:10" ht="21" x14ac:dyDescent="0.65">
      <c r="A8" s="3" t="s">
        <v>1233</v>
      </c>
      <c r="B8" s="3"/>
      <c r="C8" s="29" t="s">
        <v>1233</v>
      </c>
      <c r="D8" s="29" t="s">
        <v>1233</v>
      </c>
      <c r="E8" s="29" t="s">
        <v>8</v>
      </c>
      <c r="F8" s="53"/>
      <c r="G8" s="53"/>
      <c r="H8" s="56">
        <v>0</v>
      </c>
      <c r="I8" s="2" t="s">
        <v>133</v>
      </c>
      <c r="J8" s="53"/>
    </row>
    <row r="9" spans="1:10" ht="21" x14ac:dyDescent="0.65">
      <c r="A9" s="3" t="s">
        <v>1255</v>
      </c>
      <c r="B9" s="3"/>
      <c r="C9" s="29" t="s">
        <v>1300</v>
      </c>
      <c r="D9" s="29" t="s">
        <v>1300</v>
      </c>
      <c r="E9" s="29" t="s">
        <v>8</v>
      </c>
      <c r="F9" s="53"/>
      <c r="G9" s="53"/>
      <c r="H9" s="56">
        <v>7</v>
      </c>
      <c r="I9" t="s">
        <v>134</v>
      </c>
      <c r="J9" s="53"/>
    </row>
    <row r="10" spans="1:10" ht="21" x14ac:dyDescent="0.65">
      <c r="A10" s="3" t="s">
        <v>1256</v>
      </c>
      <c r="B10" s="3" t="s">
        <v>1233</v>
      </c>
      <c r="C10" s="29" t="s">
        <v>1233</v>
      </c>
      <c r="D10" s="29" t="s">
        <v>1233</v>
      </c>
      <c r="E10" s="29" t="s">
        <v>8</v>
      </c>
      <c r="F10" s="53"/>
      <c r="G10" s="53"/>
      <c r="H10" s="53"/>
      <c r="I10" s="53"/>
      <c r="J10" s="53"/>
    </row>
    <row r="11" spans="1:10" ht="21" x14ac:dyDescent="0.65">
      <c r="A11" s="3" t="s">
        <v>1257</v>
      </c>
      <c r="B11" s="3"/>
      <c r="C11" s="29" t="s">
        <v>1300</v>
      </c>
      <c r="D11" s="29" t="s">
        <v>1300</v>
      </c>
      <c r="E11" s="29" t="s">
        <v>8</v>
      </c>
      <c r="F11" s="53"/>
      <c r="G11" s="53"/>
      <c r="H11" s="53"/>
      <c r="I11" s="53"/>
      <c r="J11" s="53"/>
    </row>
    <row r="12" spans="1:10" ht="21" x14ac:dyDescent="0.65">
      <c r="A12" s="3" t="s">
        <v>1258</v>
      </c>
      <c r="B12" s="3"/>
      <c r="C12" s="29" t="s">
        <v>1299</v>
      </c>
      <c r="D12" s="29" t="s">
        <v>1299</v>
      </c>
      <c r="E12" s="29" t="s">
        <v>8</v>
      </c>
      <c r="F12" s="53"/>
      <c r="G12" s="53"/>
      <c r="H12" s="13" t="s">
        <v>5</v>
      </c>
      <c r="I12" s="13" t="s">
        <v>3</v>
      </c>
      <c r="J12" s="53"/>
    </row>
    <row r="13" spans="1:10" ht="21" x14ac:dyDescent="0.65">
      <c r="A13" t="s">
        <v>1259</v>
      </c>
      <c r="B13" t="s">
        <v>1287</v>
      </c>
      <c r="C13" s="29" t="s">
        <v>1300</v>
      </c>
      <c r="D13" s="29" t="s">
        <v>1300</v>
      </c>
      <c r="E13" s="29" t="s">
        <v>8</v>
      </c>
      <c r="F13" s="53"/>
      <c r="G13" s="53"/>
      <c r="H13" s="56">
        <f>COUNTIF(Tabelle2414916[[#All],[Theme]],I13)</f>
        <v>14</v>
      </c>
      <c r="I13" s="40" t="s">
        <v>1299</v>
      </c>
      <c r="J13" s="53"/>
    </row>
    <row r="14" spans="1:10" ht="21" x14ac:dyDescent="0.65">
      <c r="A14" s="3" t="s">
        <v>1260</v>
      </c>
      <c r="B14" s="3" t="s">
        <v>1288</v>
      </c>
      <c r="C14" s="29" t="s">
        <v>1299</v>
      </c>
      <c r="D14" s="29" t="s">
        <v>1299</v>
      </c>
      <c r="E14" s="29" t="s">
        <v>8</v>
      </c>
      <c r="F14" s="53"/>
      <c r="G14" s="53"/>
      <c r="H14" s="56">
        <f>COUNTIF(Tabelle2414916[[#All],[Theme]],I14)</f>
        <v>8</v>
      </c>
      <c r="I14" s="40" t="s">
        <v>1233</v>
      </c>
      <c r="J14" s="53"/>
    </row>
    <row r="15" spans="1:10" ht="21" x14ac:dyDescent="0.65">
      <c r="A15" s="3" t="s">
        <v>1261</v>
      </c>
      <c r="B15" s="3"/>
      <c r="C15" s="29" t="s">
        <v>1299</v>
      </c>
      <c r="D15" s="29" t="s">
        <v>1299</v>
      </c>
      <c r="E15" s="29" t="s">
        <v>8</v>
      </c>
      <c r="F15" s="53"/>
      <c r="G15" s="53"/>
      <c r="H15" s="56">
        <f>COUNTIF(Tabelle2414916[[#All],[Theme]],I15)</f>
        <v>7</v>
      </c>
      <c r="I15" s="40" t="s">
        <v>1300</v>
      </c>
      <c r="J15" s="53"/>
    </row>
    <row r="16" spans="1:10" ht="21" x14ac:dyDescent="0.65">
      <c r="A16" s="3" t="s">
        <v>1262</v>
      </c>
      <c r="B16" s="3"/>
      <c r="C16" s="29" t="s">
        <v>1299</v>
      </c>
      <c r="D16" s="29" t="s">
        <v>1299</v>
      </c>
      <c r="E16" s="29" t="s">
        <v>8</v>
      </c>
      <c r="F16" s="53"/>
      <c r="G16" s="53"/>
      <c r="H16" s="56">
        <f>COUNTIF(Tabelle2414916[[#All],[Theme]],I16)</f>
        <v>7</v>
      </c>
      <c r="I16" s="40" t="s">
        <v>1232</v>
      </c>
      <c r="J16" s="53"/>
    </row>
    <row r="17" spans="1:10" ht="21" x14ac:dyDescent="0.65">
      <c r="A17" t="s">
        <v>1263</v>
      </c>
      <c r="C17" s="29" t="s">
        <v>1232</v>
      </c>
      <c r="D17" s="29" t="s">
        <v>1232</v>
      </c>
      <c r="E17" s="29" t="s">
        <v>8</v>
      </c>
      <c r="F17" s="53"/>
      <c r="G17" s="53"/>
      <c r="H17" s="57">
        <f>SUM(H13:H16)</f>
        <v>36</v>
      </c>
      <c r="I17" s="57"/>
      <c r="J17" s="53"/>
    </row>
    <row r="18" spans="1:10" ht="21" x14ac:dyDescent="0.65">
      <c r="A18" s="5" t="s">
        <v>922</v>
      </c>
      <c r="B18" s="5"/>
      <c r="C18" s="29" t="s">
        <v>1232</v>
      </c>
      <c r="D18" s="29" t="s">
        <v>1232</v>
      </c>
      <c r="E18" s="29" t="s">
        <v>8</v>
      </c>
      <c r="F18" s="53"/>
      <c r="G18" s="53"/>
      <c r="H18" s="53"/>
      <c r="I18" s="53"/>
      <c r="J18" s="53"/>
    </row>
    <row r="19" spans="1:10" ht="21" x14ac:dyDescent="0.65">
      <c r="A19" t="s">
        <v>1264</v>
      </c>
      <c r="C19" s="29" t="s">
        <v>1232</v>
      </c>
      <c r="D19" s="29" t="s">
        <v>1232</v>
      </c>
      <c r="E19" s="29" t="s">
        <v>8</v>
      </c>
      <c r="F19" s="53"/>
      <c r="G19" s="53"/>
      <c r="H19" s="53"/>
      <c r="I19" s="53"/>
      <c r="J19" s="53"/>
    </row>
    <row r="20" spans="1:10" ht="21" x14ac:dyDescent="0.65">
      <c r="A20" s="4" t="s">
        <v>1265</v>
      </c>
      <c r="B20" s="4" t="s">
        <v>1289</v>
      </c>
      <c r="C20" s="29" t="s">
        <v>1300</v>
      </c>
      <c r="D20" s="29" t="s">
        <v>1300</v>
      </c>
      <c r="E20" s="29" t="s">
        <v>8</v>
      </c>
      <c r="F20" s="53"/>
      <c r="G20" s="53"/>
      <c r="H20" s="53"/>
      <c r="I20" s="53"/>
      <c r="J20" s="53"/>
    </row>
    <row r="21" spans="1:10" ht="21" x14ac:dyDescent="0.65">
      <c r="A21" s="3" t="s">
        <v>1266</v>
      </c>
      <c r="B21" s="3" t="s">
        <v>1233</v>
      </c>
      <c r="C21" s="29" t="s">
        <v>1233</v>
      </c>
      <c r="D21" s="29" t="s">
        <v>1233</v>
      </c>
      <c r="E21" s="29" t="s">
        <v>8</v>
      </c>
      <c r="F21" s="53"/>
      <c r="G21" s="53"/>
      <c r="H21" s="53"/>
      <c r="I21" s="53"/>
      <c r="J21" s="53"/>
    </row>
    <row r="22" spans="1:10" ht="21" x14ac:dyDescent="0.65">
      <c r="A22" s="3" t="s">
        <v>1267</v>
      </c>
      <c r="B22" s="3" t="s">
        <v>1233</v>
      </c>
      <c r="C22" s="29" t="s">
        <v>1233</v>
      </c>
      <c r="D22" s="29" t="s">
        <v>1233</v>
      </c>
      <c r="E22" s="29" t="s">
        <v>8</v>
      </c>
      <c r="F22" s="53"/>
      <c r="G22" s="53"/>
      <c r="H22" s="53"/>
      <c r="I22" s="53"/>
      <c r="J22" s="53"/>
    </row>
    <row r="23" spans="1:10" ht="21" x14ac:dyDescent="0.65">
      <c r="A23" s="4" t="s">
        <v>1268</v>
      </c>
      <c r="B23" s="4" t="s">
        <v>1290</v>
      </c>
      <c r="C23" s="29" t="s">
        <v>1300</v>
      </c>
      <c r="D23" s="29" t="s">
        <v>1300</v>
      </c>
      <c r="E23" s="29" t="s">
        <v>8</v>
      </c>
      <c r="F23" s="53"/>
      <c r="G23" s="53"/>
      <c r="H23" s="53"/>
      <c r="I23" s="53"/>
      <c r="J23" s="53"/>
    </row>
    <row r="24" spans="1:10" ht="21" x14ac:dyDescent="0.65">
      <c r="A24" s="3" t="s">
        <v>1269</v>
      </c>
      <c r="B24" s="3" t="s">
        <v>1291</v>
      </c>
      <c r="C24" s="29" t="s">
        <v>1300</v>
      </c>
      <c r="D24" s="29" t="s">
        <v>1300</v>
      </c>
      <c r="E24" s="29" t="s">
        <v>8</v>
      </c>
      <c r="F24" s="53"/>
      <c r="G24" s="53"/>
      <c r="H24" s="53"/>
      <c r="I24" s="53"/>
      <c r="J24" s="53"/>
    </row>
    <row r="25" spans="1:10" ht="21" x14ac:dyDescent="0.65">
      <c r="A25" s="4" t="s">
        <v>1270</v>
      </c>
      <c r="B25" s="4" t="s">
        <v>1292</v>
      </c>
      <c r="C25" s="29" t="s">
        <v>1299</v>
      </c>
      <c r="D25" s="29" t="s">
        <v>1299</v>
      </c>
      <c r="E25" s="29" t="s">
        <v>8</v>
      </c>
      <c r="F25" s="53"/>
      <c r="G25" s="53"/>
      <c r="H25" s="53"/>
      <c r="I25" s="53"/>
      <c r="J25" s="53"/>
    </row>
    <row r="26" spans="1:10" ht="21" x14ac:dyDescent="0.65">
      <c r="A26" s="3" t="s">
        <v>1271</v>
      </c>
      <c r="B26" s="3" t="s">
        <v>1293</v>
      </c>
      <c r="C26" s="29" t="s">
        <v>1299</v>
      </c>
      <c r="D26" s="29" t="s">
        <v>1299</v>
      </c>
      <c r="E26" s="29" t="s">
        <v>8</v>
      </c>
      <c r="F26" s="53"/>
      <c r="G26" s="53"/>
      <c r="H26" s="53"/>
      <c r="I26" s="53"/>
      <c r="J26" s="53"/>
    </row>
    <row r="27" spans="1:10" ht="21" x14ac:dyDescent="0.65">
      <c r="A27" s="3" t="s">
        <v>1272</v>
      </c>
      <c r="B27" s="3"/>
      <c r="C27" s="29" t="s">
        <v>1233</v>
      </c>
      <c r="D27" s="29" t="s">
        <v>1233</v>
      </c>
      <c r="E27" s="29" t="s">
        <v>8</v>
      </c>
      <c r="F27" s="53"/>
      <c r="G27" s="53"/>
      <c r="H27" s="53"/>
      <c r="I27" s="53"/>
      <c r="J27" s="53"/>
    </row>
    <row r="28" spans="1:10" ht="21" x14ac:dyDescent="0.65">
      <c r="A28" s="3" t="s">
        <v>1273</v>
      </c>
      <c r="B28" s="3"/>
      <c r="C28" s="29" t="s">
        <v>1299</v>
      </c>
      <c r="D28" s="29" t="s">
        <v>1299</v>
      </c>
      <c r="E28" s="29" t="s">
        <v>8</v>
      </c>
      <c r="F28" s="53"/>
      <c r="G28" s="53"/>
      <c r="H28" s="53"/>
      <c r="I28" s="53"/>
      <c r="J28" s="53"/>
    </row>
    <row r="29" spans="1:10" ht="21" x14ac:dyDescent="0.65">
      <c r="A29" s="3" t="s">
        <v>1274</v>
      </c>
      <c r="B29" s="3"/>
      <c r="C29" s="29" t="s">
        <v>1299</v>
      </c>
      <c r="D29" s="29" t="s">
        <v>1299</v>
      </c>
      <c r="E29" s="29" t="s">
        <v>8</v>
      </c>
      <c r="F29" s="53"/>
      <c r="G29" s="53"/>
      <c r="H29" s="53"/>
      <c r="I29" s="53"/>
      <c r="J29" s="53"/>
    </row>
    <row r="30" spans="1:10" ht="21" x14ac:dyDescent="0.65">
      <c r="A30" s="4" t="s">
        <v>1275</v>
      </c>
      <c r="B30" s="4" t="s">
        <v>1294</v>
      </c>
      <c r="C30" s="29" t="s">
        <v>1299</v>
      </c>
      <c r="D30" s="29" t="s">
        <v>1299</v>
      </c>
      <c r="E30" s="29" t="s">
        <v>8</v>
      </c>
      <c r="F30" s="53"/>
      <c r="G30" s="53"/>
      <c r="H30" s="53"/>
      <c r="I30" s="53"/>
      <c r="J30" s="53"/>
    </row>
    <row r="31" spans="1:10" ht="21" x14ac:dyDescent="0.65">
      <c r="A31" s="3" t="s">
        <v>1276</v>
      </c>
      <c r="B31" s="3"/>
      <c r="C31" s="29" t="s">
        <v>1299</v>
      </c>
      <c r="D31" s="29" t="s">
        <v>1299</v>
      </c>
      <c r="E31" s="29" t="s">
        <v>8</v>
      </c>
      <c r="F31" s="53"/>
      <c r="G31" s="53"/>
      <c r="H31" s="53"/>
      <c r="I31" s="53"/>
      <c r="J31" s="53"/>
    </row>
    <row r="32" spans="1:10" ht="21" x14ac:dyDescent="0.65">
      <c r="A32" s="3" t="s">
        <v>1277</v>
      </c>
      <c r="B32" s="3" t="s">
        <v>1295</v>
      </c>
      <c r="C32" s="29" t="s">
        <v>1299</v>
      </c>
      <c r="D32" s="29" t="s">
        <v>1299</v>
      </c>
      <c r="E32" s="29" t="s">
        <v>8</v>
      </c>
      <c r="F32" s="53"/>
      <c r="G32" s="53"/>
      <c r="H32" s="53"/>
      <c r="I32" s="53"/>
      <c r="J32" s="53"/>
    </row>
    <row r="33" spans="1:10" ht="21" x14ac:dyDescent="0.65">
      <c r="A33" s="3" t="s">
        <v>1278</v>
      </c>
      <c r="B33" s="3" t="s">
        <v>1296</v>
      </c>
      <c r="C33" s="29" t="s">
        <v>1233</v>
      </c>
      <c r="D33" s="29" t="s">
        <v>1233</v>
      </c>
      <c r="E33" s="29" t="s">
        <v>8</v>
      </c>
      <c r="F33" s="53"/>
      <c r="G33" s="53"/>
      <c r="H33" s="53"/>
      <c r="I33" s="53"/>
      <c r="J33" s="53"/>
    </row>
    <row r="34" spans="1:10" ht="21" x14ac:dyDescent="0.65">
      <c r="A34" s="3" t="s">
        <v>1279</v>
      </c>
      <c r="B34" s="3" t="s">
        <v>1233</v>
      </c>
      <c r="C34" s="29" t="s">
        <v>1232</v>
      </c>
      <c r="D34" s="29" t="s">
        <v>1232</v>
      </c>
      <c r="E34" s="29" t="s">
        <v>8</v>
      </c>
      <c r="F34" s="53"/>
      <c r="G34" s="53"/>
      <c r="H34" s="53"/>
      <c r="I34" s="53"/>
      <c r="J34" s="53"/>
    </row>
    <row r="35" spans="1:10" ht="21" x14ac:dyDescent="0.65">
      <c r="A35" t="s">
        <v>1191</v>
      </c>
      <c r="C35" s="29" t="s">
        <v>1232</v>
      </c>
      <c r="D35" s="29" t="s">
        <v>1232</v>
      </c>
      <c r="E35" s="29" t="s">
        <v>8</v>
      </c>
      <c r="F35" s="53"/>
      <c r="G35" s="53"/>
      <c r="H35" s="53"/>
      <c r="I35" s="53"/>
      <c r="J35" s="53"/>
    </row>
    <row r="36" spans="1:10" ht="21" x14ac:dyDescent="0.65">
      <c r="A36" s="5" t="s">
        <v>1280</v>
      </c>
      <c r="B36" s="5" t="s">
        <v>1297</v>
      </c>
      <c r="C36" s="29" t="s">
        <v>1232</v>
      </c>
      <c r="D36" s="29" t="s">
        <v>1232</v>
      </c>
      <c r="E36" s="29" t="s">
        <v>8</v>
      </c>
      <c r="F36" s="53"/>
      <c r="G36" s="53"/>
      <c r="H36" s="53"/>
      <c r="I36" s="53"/>
      <c r="J36" s="53"/>
    </row>
    <row r="37" spans="1:10" ht="21" x14ac:dyDescent="0.65">
      <c r="A37" s="3" t="s">
        <v>1281</v>
      </c>
      <c r="B37" s="3" t="s">
        <v>1298</v>
      </c>
      <c r="C37" s="29" t="s">
        <v>1300</v>
      </c>
      <c r="D37" s="29" t="s">
        <v>1300</v>
      </c>
      <c r="E37" s="29" t="s">
        <v>8</v>
      </c>
      <c r="F37" s="53"/>
      <c r="G37" s="53"/>
      <c r="H37" s="53"/>
      <c r="I37" s="53"/>
      <c r="J37" s="53"/>
    </row>
    <row r="38" spans="1:10" ht="21" x14ac:dyDescent="0.65">
      <c r="A38" s="3" t="s">
        <v>1282</v>
      </c>
      <c r="B38" s="3"/>
      <c r="C38" s="29" t="s">
        <v>1299</v>
      </c>
      <c r="D38" s="29" t="s">
        <v>1299</v>
      </c>
      <c r="E38" s="29" t="s">
        <v>8</v>
      </c>
      <c r="F38" s="53"/>
      <c r="G38" s="53"/>
      <c r="H38" s="53"/>
      <c r="I38" s="53"/>
      <c r="J38" s="53"/>
    </row>
    <row r="39" spans="1:10" ht="21" x14ac:dyDescent="0.65">
      <c r="A39" s="4" t="s">
        <v>1283</v>
      </c>
      <c r="B39" s="4" t="s">
        <v>1276</v>
      </c>
      <c r="C39" s="29" t="s">
        <v>1299</v>
      </c>
      <c r="D39" s="29" t="s">
        <v>1299</v>
      </c>
      <c r="E39" s="29" t="s">
        <v>8</v>
      </c>
      <c r="F39" s="53"/>
      <c r="G39" s="53"/>
      <c r="H39" s="53"/>
      <c r="I39" s="53"/>
      <c r="J39" s="53"/>
    </row>
    <row r="40" spans="1:10" ht="21" x14ac:dyDescent="0.65">
      <c r="A40" s="3" t="s">
        <v>1284</v>
      </c>
      <c r="B40" s="3"/>
      <c r="C40" s="29" t="s">
        <v>1233</v>
      </c>
      <c r="D40" s="29" t="s">
        <v>1233</v>
      </c>
      <c r="E40" s="29" t="s">
        <v>8</v>
      </c>
      <c r="F40" s="53"/>
      <c r="G40" s="53"/>
      <c r="H40" s="53"/>
      <c r="I40" s="53"/>
      <c r="J40" s="53"/>
    </row>
    <row r="41" spans="1:10" ht="21" x14ac:dyDescent="0.65">
      <c r="A41" t="s">
        <v>1285</v>
      </c>
      <c r="C41" s="29" t="s">
        <v>1232</v>
      </c>
      <c r="D41" s="29" t="s">
        <v>1232</v>
      </c>
      <c r="E41" s="29" t="s">
        <v>8</v>
      </c>
      <c r="F41" s="53"/>
      <c r="G41" s="53"/>
      <c r="H41" s="53"/>
      <c r="I41" s="53"/>
      <c r="J41" s="53"/>
    </row>
  </sheetData>
  <pageMargins left="0.7" right="0.7" top="0.78749999999999998" bottom="0.78749999999999998" header="0.511811023622047" footer="0.511811023622047"/>
  <pageSetup paperSize="9" orientation="portrait" horizontalDpi="300" verticalDpi="300" r:id="rId1"/>
  <tableParts count="3">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51"/>
  <sheetViews>
    <sheetView zoomScale="70" zoomScaleNormal="70" workbookViewId="0">
      <selection activeCell="A18" sqref="A18"/>
    </sheetView>
  </sheetViews>
  <sheetFormatPr baseColWidth="10" defaultColWidth="10.33203125" defaultRowHeight="14.25" customHeight="1" x14ac:dyDescent="0.45"/>
  <cols>
    <col min="1" max="1" width="66.06640625" customWidth="1"/>
    <col min="2" max="2" width="36.59765625" customWidth="1"/>
    <col min="3" max="3" width="25.265625" customWidth="1"/>
    <col min="4" max="4" width="24.9296875" customWidth="1"/>
    <col min="5" max="5" width="15" customWidth="1"/>
    <col min="8" max="8" width="15.53125" customWidth="1"/>
    <col min="9" max="9" width="63.53125" customWidth="1"/>
  </cols>
  <sheetData>
    <row r="1" spans="1:10" ht="31.9" x14ac:dyDescent="0.45">
      <c r="A1" s="37" t="s">
        <v>628</v>
      </c>
      <c r="B1" s="37"/>
      <c r="C1" s="37"/>
      <c r="D1" s="37"/>
      <c r="E1" s="37"/>
      <c r="F1" s="37"/>
      <c r="G1" s="37"/>
      <c r="H1" s="37"/>
      <c r="I1" s="37"/>
      <c r="J1" s="37"/>
    </row>
    <row r="2" spans="1:10" ht="14.25" customHeight="1" x14ac:dyDescent="0.45">
      <c r="A2" s="37"/>
      <c r="B2" s="37"/>
      <c r="C2" s="37"/>
      <c r="D2" s="37"/>
      <c r="E2" s="37"/>
      <c r="F2" s="37"/>
      <c r="G2" s="37"/>
      <c r="H2" s="37"/>
      <c r="I2" s="37"/>
      <c r="J2" s="37"/>
    </row>
    <row r="3" spans="1:10" ht="31.9" x14ac:dyDescent="0.45">
      <c r="A3" s="37"/>
      <c r="B3" s="37"/>
      <c r="C3" s="37"/>
      <c r="D3" s="37"/>
      <c r="E3" s="37"/>
      <c r="F3" s="37"/>
      <c r="G3" s="37"/>
      <c r="H3" s="37"/>
      <c r="I3" s="37"/>
      <c r="J3" s="37"/>
    </row>
    <row r="4" spans="1:10" ht="14.25" customHeight="1" x14ac:dyDescent="0.45">
      <c r="A4" s="37"/>
      <c r="B4" s="37"/>
      <c r="C4" s="37"/>
      <c r="D4" s="37"/>
      <c r="E4" s="37"/>
      <c r="F4" s="37"/>
      <c r="G4" s="37"/>
      <c r="H4" s="37"/>
      <c r="I4" s="37"/>
      <c r="J4" s="37"/>
    </row>
    <row r="5" spans="1:10" ht="21" customHeight="1" x14ac:dyDescent="0.55000000000000004">
      <c r="A5" s="13" t="s">
        <v>1</v>
      </c>
      <c r="B5" s="13" t="s">
        <v>130</v>
      </c>
      <c r="C5" s="13" t="s">
        <v>2</v>
      </c>
      <c r="D5" s="13" t="s">
        <v>3</v>
      </c>
      <c r="E5" s="13" t="s">
        <v>4</v>
      </c>
      <c r="F5" s="37"/>
      <c r="G5" s="37"/>
      <c r="H5" s="13" t="s">
        <v>5</v>
      </c>
      <c r="I5" s="13" t="s">
        <v>130</v>
      </c>
      <c r="J5" s="37"/>
    </row>
    <row r="6" spans="1:10" ht="21" customHeight="1" x14ac:dyDescent="0.45">
      <c r="A6" s="4" t="s">
        <v>1301</v>
      </c>
      <c r="B6" s="4" t="s">
        <v>1233</v>
      </c>
      <c r="C6" s="29" t="s">
        <v>1300</v>
      </c>
      <c r="D6" s="29" t="s">
        <v>1300</v>
      </c>
      <c r="E6" s="29" t="s">
        <v>8</v>
      </c>
      <c r="F6" s="37"/>
      <c r="G6" s="37"/>
      <c r="H6" s="56">
        <v>35</v>
      </c>
      <c r="I6" s="3" t="s">
        <v>131</v>
      </c>
      <c r="J6" s="37"/>
    </row>
    <row r="7" spans="1:10" ht="21" customHeight="1" x14ac:dyDescent="0.45">
      <c r="A7" s="3" t="s">
        <v>1302</v>
      </c>
      <c r="B7" s="3" t="s">
        <v>1420</v>
      </c>
      <c r="C7" s="29" t="s">
        <v>1299</v>
      </c>
      <c r="D7" s="29" t="s">
        <v>1299</v>
      </c>
      <c r="E7" s="29" t="s">
        <v>8</v>
      </c>
      <c r="F7" s="37"/>
      <c r="G7" s="37"/>
      <c r="H7" s="56">
        <v>5</v>
      </c>
      <c r="I7" s="4" t="s">
        <v>132</v>
      </c>
      <c r="J7" s="37"/>
    </row>
    <row r="8" spans="1:10" ht="21" customHeight="1" x14ac:dyDescent="0.45">
      <c r="A8" s="3" t="s">
        <v>1303</v>
      </c>
      <c r="B8" s="3" t="s">
        <v>1425</v>
      </c>
      <c r="C8" s="29" t="s">
        <v>1299</v>
      </c>
      <c r="D8" s="29" t="s">
        <v>1299</v>
      </c>
      <c r="E8" s="29" t="s">
        <v>8</v>
      </c>
      <c r="F8" s="37"/>
      <c r="G8" s="37"/>
      <c r="H8" s="56">
        <v>2</v>
      </c>
      <c r="I8" s="2" t="s">
        <v>133</v>
      </c>
      <c r="J8" s="37"/>
    </row>
    <row r="9" spans="1:10" ht="21" customHeight="1" x14ac:dyDescent="0.45">
      <c r="A9" s="3" t="s">
        <v>1304</v>
      </c>
      <c r="B9" s="3"/>
      <c r="C9" s="29" t="s">
        <v>1233</v>
      </c>
      <c r="D9" s="29" t="s">
        <v>1233</v>
      </c>
      <c r="E9" s="29" t="s">
        <v>8</v>
      </c>
      <c r="F9" s="37"/>
      <c r="G9" s="37"/>
      <c r="H9" s="56">
        <v>4</v>
      </c>
      <c r="I9" t="s">
        <v>134</v>
      </c>
      <c r="J9" s="37"/>
    </row>
    <row r="10" spans="1:10" ht="21" customHeight="1" x14ac:dyDescent="0.45">
      <c r="A10" s="3" t="s">
        <v>1305</v>
      </c>
      <c r="B10" s="3"/>
      <c r="C10" s="29" t="s">
        <v>1300</v>
      </c>
      <c r="D10" s="29" t="s">
        <v>1300</v>
      </c>
      <c r="E10" s="29" t="s">
        <v>8</v>
      </c>
      <c r="F10" s="37"/>
      <c r="G10" s="37"/>
      <c r="H10" s="37"/>
      <c r="I10" s="37"/>
      <c r="J10" s="37"/>
    </row>
    <row r="11" spans="1:10" ht="21" customHeight="1" x14ac:dyDescent="0.45">
      <c r="A11" s="3" t="s">
        <v>1306</v>
      </c>
      <c r="B11" s="3"/>
      <c r="C11" s="29" t="s">
        <v>1300</v>
      </c>
      <c r="D11" s="29" t="s">
        <v>1300</v>
      </c>
      <c r="E11" s="29" t="s">
        <v>8</v>
      </c>
      <c r="F11" s="37"/>
      <c r="G11" s="37"/>
      <c r="H11" s="37"/>
      <c r="I11" s="37"/>
      <c r="J11" s="37"/>
    </row>
    <row r="12" spans="1:10" ht="21" customHeight="1" x14ac:dyDescent="0.55000000000000004">
      <c r="A12" s="5" t="s">
        <v>1307</v>
      </c>
      <c r="B12" s="5" t="s">
        <v>1426</v>
      </c>
      <c r="C12" s="29" t="s">
        <v>1300</v>
      </c>
      <c r="D12" s="29" t="s">
        <v>1300</v>
      </c>
      <c r="E12" s="29" t="s">
        <v>8</v>
      </c>
      <c r="F12" s="37"/>
      <c r="G12" s="37"/>
      <c r="H12" s="13" t="s">
        <v>5</v>
      </c>
      <c r="I12" s="13" t="s">
        <v>3</v>
      </c>
      <c r="J12" s="37"/>
    </row>
    <row r="13" spans="1:10" ht="21" customHeight="1" x14ac:dyDescent="0.45">
      <c r="A13" s="3" t="s">
        <v>1308</v>
      </c>
      <c r="B13" s="3" t="s">
        <v>1233</v>
      </c>
      <c r="C13" s="29" t="s">
        <v>1233</v>
      </c>
      <c r="D13" s="29" t="s">
        <v>1233</v>
      </c>
      <c r="E13" s="29" t="s">
        <v>8</v>
      </c>
      <c r="F13" s="37"/>
      <c r="G13" s="37"/>
      <c r="H13" s="56">
        <f>COUNTIF(Tabelle241491620[[#All],[Theme]],I13)</f>
        <v>21</v>
      </c>
      <c r="I13" s="40" t="s">
        <v>1299</v>
      </c>
      <c r="J13" s="37"/>
    </row>
    <row r="14" spans="1:10" ht="21" customHeight="1" x14ac:dyDescent="0.45">
      <c r="A14" s="3" t="s">
        <v>1309</v>
      </c>
      <c r="B14" s="3"/>
      <c r="C14" s="29" t="s">
        <v>1300</v>
      </c>
      <c r="D14" s="29" t="s">
        <v>1300</v>
      </c>
      <c r="E14" s="29" t="s">
        <v>8</v>
      </c>
      <c r="F14" s="37"/>
      <c r="G14" s="37"/>
      <c r="H14" s="56">
        <f>COUNTIF(Tabelle241491620[[#All],[Theme]],I14)</f>
        <v>15</v>
      </c>
      <c r="I14" s="40" t="s">
        <v>1300</v>
      </c>
      <c r="J14" s="37"/>
    </row>
    <row r="15" spans="1:10" ht="21" customHeight="1" x14ac:dyDescent="0.45">
      <c r="A15" s="3" t="s">
        <v>1310</v>
      </c>
      <c r="B15" s="3"/>
      <c r="C15" s="29" t="s">
        <v>1299</v>
      </c>
      <c r="D15" s="29" t="s">
        <v>1299</v>
      </c>
      <c r="E15" s="29" t="s">
        <v>8</v>
      </c>
      <c r="F15" s="37"/>
      <c r="G15" s="37"/>
      <c r="H15" s="56">
        <f>COUNTIF(Tabelle241491620[[#All],[Theme]],I15)</f>
        <v>7</v>
      </c>
      <c r="I15" s="40" t="s">
        <v>1233</v>
      </c>
      <c r="J15" s="37"/>
    </row>
    <row r="16" spans="1:10" ht="21" customHeight="1" x14ac:dyDescent="0.45">
      <c r="A16" s="3" t="s">
        <v>1311</v>
      </c>
      <c r="B16" s="3" t="s">
        <v>1427</v>
      </c>
      <c r="C16" s="29" t="s">
        <v>1300</v>
      </c>
      <c r="D16" s="29" t="s">
        <v>1300</v>
      </c>
      <c r="E16" s="29" t="s">
        <v>8</v>
      </c>
      <c r="F16" s="37"/>
      <c r="G16" s="37"/>
      <c r="H16" s="56">
        <f>COUNTIF(Tabelle241491620[[#All],[Theme]],I16)</f>
        <v>3</v>
      </c>
      <c r="I16" s="40" t="s">
        <v>1232</v>
      </c>
      <c r="J16" s="37"/>
    </row>
    <row r="17" spans="1:10" ht="21" customHeight="1" x14ac:dyDescent="0.45">
      <c r="A17" t="s">
        <v>1312</v>
      </c>
      <c r="C17" s="29" t="s">
        <v>1232</v>
      </c>
      <c r="D17" s="29" t="s">
        <v>1232</v>
      </c>
      <c r="E17" s="29" t="s">
        <v>8</v>
      </c>
      <c r="F17" s="37"/>
      <c r="G17" s="37"/>
      <c r="H17" s="59">
        <f>SUM(Tabelle3234353626293738394041424748[Mentions])</f>
        <v>46</v>
      </c>
      <c r="I17" s="58"/>
      <c r="J17" s="37"/>
    </row>
    <row r="18" spans="1:10" ht="21" customHeight="1" x14ac:dyDescent="0.45">
      <c r="A18" s="3" t="s">
        <v>1313</v>
      </c>
      <c r="B18" s="3"/>
      <c r="C18" s="29" t="s">
        <v>1299</v>
      </c>
      <c r="D18" s="29" t="s">
        <v>1299</v>
      </c>
      <c r="E18" s="29" t="s">
        <v>8</v>
      </c>
      <c r="F18" s="37"/>
      <c r="G18" s="37"/>
      <c r="H18" s="37"/>
      <c r="I18" s="37"/>
      <c r="J18" s="37"/>
    </row>
    <row r="19" spans="1:10" ht="21" customHeight="1" x14ac:dyDescent="0.45">
      <c r="A19" s="2" t="s">
        <v>1314</v>
      </c>
      <c r="B19" s="2" t="s">
        <v>1428</v>
      </c>
      <c r="C19" s="29" t="s">
        <v>1299</v>
      </c>
      <c r="D19" s="29" t="s">
        <v>1299</v>
      </c>
      <c r="E19" s="29" t="s">
        <v>8</v>
      </c>
      <c r="F19" s="37"/>
      <c r="G19" s="37"/>
      <c r="H19" s="37"/>
      <c r="I19" s="37"/>
      <c r="J19" s="37"/>
    </row>
    <row r="20" spans="1:10" ht="21" customHeight="1" x14ac:dyDescent="0.45">
      <c r="A20" s="3" t="s">
        <v>1315</v>
      </c>
      <c r="B20" s="3" t="s">
        <v>1421</v>
      </c>
      <c r="C20" s="29" t="s">
        <v>1299</v>
      </c>
      <c r="D20" s="29" t="s">
        <v>1299</v>
      </c>
      <c r="E20" s="29" t="s">
        <v>8</v>
      </c>
      <c r="F20" s="37"/>
      <c r="G20" s="37"/>
      <c r="H20" s="37"/>
      <c r="I20" s="37"/>
      <c r="J20" s="37"/>
    </row>
    <row r="21" spans="1:10" ht="21" customHeight="1" x14ac:dyDescent="0.45">
      <c r="A21" s="3" t="s">
        <v>1316</v>
      </c>
      <c r="B21" s="3"/>
      <c r="C21" s="29" t="s">
        <v>1300</v>
      </c>
      <c r="D21" s="29" t="s">
        <v>1300</v>
      </c>
      <c r="E21" s="29" t="s">
        <v>8</v>
      </c>
      <c r="F21" s="37"/>
      <c r="G21" s="37"/>
      <c r="H21" s="37"/>
      <c r="I21" s="37"/>
      <c r="J21" s="37"/>
    </row>
    <row r="22" spans="1:10" ht="21" customHeight="1" x14ac:dyDescent="0.45">
      <c r="A22" s="4" t="s">
        <v>1317</v>
      </c>
      <c r="B22" s="4" t="s">
        <v>1429</v>
      </c>
      <c r="C22" s="29" t="s">
        <v>1299</v>
      </c>
      <c r="D22" s="29" t="s">
        <v>1299</v>
      </c>
      <c r="E22" s="29" t="s">
        <v>8</v>
      </c>
      <c r="F22" s="37"/>
      <c r="G22" s="37"/>
      <c r="H22" s="37"/>
      <c r="I22" s="37"/>
      <c r="J22" s="37"/>
    </row>
    <row r="23" spans="1:10" ht="21" customHeight="1" x14ac:dyDescent="0.45">
      <c r="A23" s="3" t="s">
        <v>1318</v>
      </c>
      <c r="B23" s="3" t="s">
        <v>1422</v>
      </c>
      <c r="C23" s="29" t="s">
        <v>1300</v>
      </c>
      <c r="D23" s="29" t="s">
        <v>1300</v>
      </c>
      <c r="E23" s="29" t="s">
        <v>8</v>
      </c>
      <c r="F23" s="37"/>
      <c r="G23" s="37"/>
      <c r="H23" s="37"/>
      <c r="I23" s="37"/>
      <c r="J23" s="37"/>
    </row>
    <row r="24" spans="1:10" ht="21" customHeight="1" x14ac:dyDescent="0.45">
      <c r="A24" s="3" t="s">
        <v>1319</v>
      </c>
      <c r="B24" s="3"/>
      <c r="C24" s="29" t="s">
        <v>1299</v>
      </c>
      <c r="D24" s="29" t="s">
        <v>1299</v>
      </c>
      <c r="E24" s="29" t="s">
        <v>8</v>
      </c>
      <c r="F24" s="37"/>
      <c r="G24" s="37"/>
      <c r="H24" s="37"/>
      <c r="I24" s="37"/>
      <c r="J24" s="37"/>
    </row>
    <row r="25" spans="1:10" ht="21" customHeight="1" x14ac:dyDescent="0.45">
      <c r="A25" s="4" t="s">
        <v>1320</v>
      </c>
      <c r="B25" s="4" t="s">
        <v>1423</v>
      </c>
      <c r="C25" s="29" t="s">
        <v>1233</v>
      </c>
      <c r="D25" s="29" t="s">
        <v>1233</v>
      </c>
      <c r="E25" s="29" t="s">
        <v>8</v>
      </c>
      <c r="F25" s="37"/>
      <c r="G25" s="37"/>
      <c r="H25" s="37"/>
      <c r="I25" s="37"/>
      <c r="J25" s="37"/>
    </row>
    <row r="26" spans="1:10" ht="21" customHeight="1" x14ac:dyDescent="0.45">
      <c r="A26" s="3" t="s">
        <v>1321</v>
      </c>
      <c r="B26" s="3"/>
      <c r="C26" s="29" t="s">
        <v>1299</v>
      </c>
      <c r="D26" s="29" t="s">
        <v>1299</v>
      </c>
      <c r="E26" s="29" t="s">
        <v>8</v>
      </c>
      <c r="F26" s="37"/>
      <c r="G26" s="37"/>
      <c r="H26" s="37"/>
      <c r="I26" s="37"/>
      <c r="J26" s="37"/>
    </row>
    <row r="27" spans="1:10" ht="21" customHeight="1" x14ac:dyDescent="0.45">
      <c r="A27" s="3" t="s">
        <v>1322</v>
      </c>
      <c r="B27" s="3" t="s">
        <v>135</v>
      </c>
      <c r="C27" s="29" t="s">
        <v>1300</v>
      </c>
      <c r="D27" s="29" t="s">
        <v>1300</v>
      </c>
      <c r="E27" s="29" t="s">
        <v>8</v>
      </c>
      <c r="F27" s="37"/>
      <c r="G27" s="37"/>
      <c r="H27" s="37"/>
      <c r="I27" s="37"/>
      <c r="J27" s="37"/>
    </row>
    <row r="28" spans="1:10" ht="21" customHeight="1" x14ac:dyDescent="0.45">
      <c r="A28" s="3" t="s">
        <v>1323</v>
      </c>
      <c r="B28" s="3"/>
      <c r="C28" s="29" t="s">
        <v>1300</v>
      </c>
      <c r="D28" s="29" t="s">
        <v>1300</v>
      </c>
      <c r="E28" s="29" t="s">
        <v>8</v>
      </c>
      <c r="F28" s="37"/>
      <c r="G28" s="37"/>
      <c r="H28" s="37"/>
      <c r="I28" s="37"/>
      <c r="J28" s="37"/>
    </row>
    <row r="29" spans="1:10" ht="21" customHeight="1" x14ac:dyDescent="0.45">
      <c r="A29" t="s">
        <v>1324</v>
      </c>
      <c r="C29" s="29" t="s">
        <v>1232</v>
      </c>
      <c r="D29" s="29" t="s">
        <v>1232</v>
      </c>
      <c r="E29" s="29" t="s">
        <v>8</v>
      </c>
      <c r="F29" s="37"/>
      <c r="G29" s="37"/>
      <c r="H29" s="37"/>
      <c r="I29" s="37"/>
      <c r="J29" s="37"/>
    </row>
    <row r="30" spans="1:10" ht="21" customHeight="1" x14ac:dyDescent="0.45">
      <c r="A30" s="4" t="s">
        <v>1325</v>
      </c>
      <c r="B30" s="4" t="s">
        <v>1343</v>
      </c>
      <c r="C30" s="29" t="s">
        <v>1299</v>
      </c>
      <c r="D30" s="29" t="s">
        <v>1299</v>
      </c>
      <c r="E30" s="29" t="s">
        <v>8</v>
      </c>
      <c r="F30" s="37"/>
      <c r="G30" s="37"/>
      <c r="H30" s="37"/>
      <c r="I30" s="37"/>
      <c r="J30" s="37"/>
    </row>
    <row r="31" spans="1:10" ht="21" customHeight="1" x14ac:dyDescent="0.45">
      <c r="A31" s="3" t="s">
        <v>1326</v>
      </c>
      <c r="B31" s="3" t="s">
        <v>1233</v>
      </c>
      <c r="C31" s="29" t="s">
        <v>1233</v>
      </c>
      <c r="D31" s="29" t="s">
        <v>1233</v>
      </c>
      <c r="E31" s="29" t="s">
        <v>8</v>
      </c>
      <c r="F31" s="37"/>
      <c r="G31" s="37"/>
      <c r="H31" s="37"/>
      <c r="I31" s="37"/>
      <c r="J31" s="37"/>
    </row>
    <row r="32" spans="1:10" ht="21" customHeight="1" x14ac:dyDescent="0.45">
      <c r="A32" s="2" t="s">
        <v>1327</v>
      </c>
      <c r="B32" s="2" t="s">
        <v>1344</v>
      </c>
      <c r="C32" s="29" t="s">
        <v>1300</v>
      </c>
      <c r="D32" s="29" t="s">
        <v>1300</v>
      </c>
      <c r="E32" s="29" t="s">
        <v>8</v>
      </c>
      <c r="F32" s="37"/>
      <c r="G32" s="37"/>
      <c r="H32" s="37"/>
      <c r="I32" s="37"/>
      <c r="J32" s="37"/>
    </row>
    <row r="33" spans="1:10" ht="21" customHeight="1" x14ac:dyDescent="0.45">
      <c r="A33" s="3" t="s">
        <v>1328</v>
      </c>
      <c r="B33" s="3"/>
      <c r="C33" s="29" t="s">
        <v>1299</v>
      </c>
      <c r="D33" s="29" t="s">
        <v>1299</v>
      </c>
      <c r="E33" s="29" t="s">
        <v>8</v>
      </c>
      <c r="F33" s="37"/>
      <c r="G33" s="37"/>
      <c r="H33" s="37"/>
      <c r="I33" s="37"/>
      <c r="J33" s="37"/>
    </row>
    <row r="34" spans="1:10" ht="21" customHeight="1" x14ac:dyDescent="0.45">
      <c r="A34" s="3" t="s">
        <v>1329</v>
      </c>
      <c r="B34" s="3"/>
      <c r="C34" s="29" t="s">
        <v>1299</v>
      </c>
      <c r="D34" s="29" t="s">
        <v>1299</v>
      </c>
      <c r="E34" s="29" t="s">
        <v>8</v>
      </c>
      <c r="F34" s="37"/>
      <c r="G34" s="37"/>
      <c r="H34" s="37"/>
      <c r="I34" s="37"/>
      <c r="J34" s="37"/>
    </row>
    <row r="35" spans="1:10" ht="21" customHeight="1" x14ac:dyDescent="0.45">
      <c r="A35" s="3" t="s">
        <v>1233</v>
      </c>
      <c r="B35" s="3"/>
      <c r="C35" s="29" t="s">
        <v>1233</v>
      </c>
      <c r="D35" s="29" t="s">
        <v>1233</v>
      </c>
      <c r="E35" s="29" t="s">
        <v>8</v>
      </c>
      <c r="F35" s="37"/>
      <c r="G35" s="37"/>
      <c r="H35" s="37"/>
      <c r="I35" s="37"/>
      <c r="J35" s="37"/>
    </row>
    <row r="36" spans="1:10" ht="21" customHeight="1" x14ac:dyDescent="0.45">
      <c r="A36" s="3" t="s">
        <v>1330</v>
      </c>
      <c r="B36" s="3"/>
      <c r="C36" s="29" t="s">
        <v>1300</v>
      </c>
      <c r="D36" s="29" t="s">
        <v>1300</v>
      </c>
      <c r="E36" s="29" t="s">
        <v>8</v>
      </c>
      <c r="F36" s="37"/>
      <c r="G36" s="37"/>
      <c r="H36" s="37"/>
      <c r="I36" s="37"/>
      <c r="J36" s="37"/>
    </row>
    <row r="37" spans="1:10" ht="21" customHeight="1" x14ac:dyDescent="0.45">
      <c r="A37" s="3" t="s">
        <v>1303</v>
      </c>
      <c r="B37" s="3"/>
      <c r="C37" s="29" t="s">
        <v>1299</v>
      </c>
      <c r="D37" s="29" t="s">
        <v>1299</v>
      </c>
      <c r="E37" s="29" t="s">
        <v>8</v>
      </c>
      <c r="F37" s="37"/>
      <c r="G37" s="37"/>
      <c r="H37" s="37"/>
      <c r="I37" s="37"/>
      <c r="J37" s="37"/>
    </row>
    <row r="38" spans="1:10" ht="21" customHeight="1" x14ac:dyDescent="0.45">
      <c r="A38" s="3" t="s">
        <v>1331</v>
      </c>
      <c r="B38" s="3"/>
      <c r="C38" s="29" t="s">
        <v>1299</v>
      </c>
      <c r="D38" s="29" t="s">
        <v>1299</v>
      </c>
      <c r="E38" s="29" t="s">
        <v>8</v>
      </c>
      <c r="F38" s="37"/>
      <c r="G38" s="37"/>
      <c r="H38" s="37"/>
      <c r="I38" s="37"/>
      <c r="J38" s="37"/>
    </row>
    <row r="39" spans="1:10" ht="21" customHeight="1" x14ac:dyDescent="0.45">
      <c r="A39" s="3" t="s">
        <v>1332</v>
      </c>
      <c r="B39" s="3"/>
      <c r="C39" s="29" t="s">
        <v>1299</v>
      </c>
      <c r="D39" s="29" t="s">
        <v>1299</v>
      </c>
      <c r="E39" s="29" t="s">
        <v>8</v>
      </c>
      <c r="F39" s="37"/>
      <c r="G39" s="37"/>
      <c r="H39" s="37"/>
      <c r="I39" s="37"/>
      <c r="J39" s="37"/>
    </row>
    <row r="40" spans="1:10" ht="21" customHeight="1" x14ac:dyDescent="0.45">
      <c r="A40" s="3" t="s">
        <v>1333</v>
      </c>
      <c r="B40" s="3" t="s">
        <v>1233</v>
      </c>
      <c r="C40" s="29" t="s">
        <v>1233</v>
      </c>
      <c r="D40" s="29" t="s">
        <v>1233</v>
      </c>
      <c r="E40" s="29" t="s">
        <v>8</v>
      </c>
      <c r="F40" s="37"/>
      <c r="G40" s="37"/>
      <c r="H40" s="37"/>
      <c r="I40" s="37"/>
      <c r="J40" s="37"/>
    </row>
    <row r="41" spans="1:10" ht="21" customHeight="1" x14ac:dyDescent="0.45">
      <c r="A41" s="4" t="s">
        <v>1334</v>
      </c>
      <c r="B41" s="4" t="s">
        <v>1292</v>
      </c>
      <c r="C41" s="29" t="s">
        <v>1299</v>
      </c>
      <c r="D41" s="29" t="s">
        <v>1299</v>
      </c>
      <c r="E41" s="29" t="s">
        <v>8</v>
      </c>
      <c r="F41" s="37"/>
      <c r="G41" s="37"/>
      <c r="H41" s="37"/>
      <c r="I41" s="37"/>
      <c r="J41" s="37"/>
    </row>
    <row r="42" spans="1:10" ht="21" customHeight="1" x14ac:dyDescent="0.45">
      <c r="A42" s="3" t="s">
        <v>1335</v>
      </c>
      <c r="B42" s="3"/>
      <c r="C42" s="29" t="s">
        <v>1299</v>
      </c>
      <c r="D42" s="29" t="s">
        <v>1299</v>
      </c>
      <c r="E42" s="29" t="s">
        <v>8</v>
      </c>
      <c r="F42" s="37"/>
      <c r="G42" s="37"/>
      <c r="H42" s="37"/>
      <c r="I42" s="37"/>
      <c r="J42" s="37"/>
    </row>
    <row r="43" spans="1:10" ht="21" customHeight="1" x14ac:dyDescent="0.45">
      <c r="A43" s="3" t="s">
        <v>1336</v>
      </c>
      <c r="B43" s="3" t="s">
        <v>1233</v>
      </c>
      <c r="C43" s="29" t="s">
        <v>1233</v>
      </c>
      <c r="D43" s="29" t="s">
        <v>1233</v>
      </c>
      <c r="E43" s="29" t="s">
        <v>8</v>
      </c>
      <c r="F43" s="37"/>
      <c r="G43" s="37"/>
      <c r="H43" s="37"/>
      <c r="I43" s="37"/>
      <c r="J43" s="37"/>
    </row>
    <row r="44" spans="1:10" ht="21" customHeight="1" x14ac:dyDescent="0.45">
      <c r="A44" s="5" t="s">
        <v>922</v>
      </c>
      <c r="B44" s="5"/>
      <c r="C44" s="29" t="s">
        <v>1232</v>
      </c>
      <c r="D44" s="29" t="s">
        <v>1232</v>
      </c>
      <c r="E44" s="29" t="s">
        <v>8</v>
      </c>
      <c r="F44" s="37"/>
      <c r="G44" s="37"/>
      <c r="H44" s="37"/>
      <c r="I44" s="37"/>
      <c r="J44" s="37"/>
    </row>
    <row r="45" spans="1:10" ht="21" customHeight="1" x14ac:dyDescent="0.45">
      <c r="A45" s="3" t="s">
        <v>1337</v>
      </c>
      <c r="B45" s="3"/>
      <c r="C45" s="29" t="s">
        <v>1299</v>
      </c>
      <c r="D45" s="29" t="s">
        <v>1299</v>
      </c>
      <c r="E45" s="29" t="s">
        <v>8</v>
      </c>
      <c r="F45" s="37"/>
      <c r="G45" s="37"/>
      <c r="H45" s="37"/>
      <c r="I45" s="37"/>
      <c r="J45" s="37"/>
    </row>
    <row r="46" spans="1:10" ht="21" customHeight="1" x14ac:dyDescent="0.45">
      <c r="A46" s="3" t="s">
        <v>1338</v>
      </c>
      <c r="B46" s="3"/>
      <c r="C46" s="29" t="s">
        <v>1300</v>
      </c>
      <c r="D46" s="29" t="s">
        <v>1300</v>
      </c>
      <c r="E46" s="29" t="s">
        <v>8</v>
      </c>
      <c r="F46" s="37"/>
      <c r="G46" s="37"/>
      <c r="H46" s="37"/>
      <c r="I46" s="37"/>
      <c r="J46" s="37"/>
    </row>
    <row r="47" spans="1:10" ht="21" customHeight="1" x14ac:dyDescent="0.45">
      <c r="A47" s="3" t="s">
        <v>1339</v>
      </c>
      <c r="B47" s="3" t="s">
        <v>1424</v>
      </c>
      <c r="C47" s="29" t="s">
        <v>1300</v>
      </c>
      <c r="D47" s="29" t="s">
        <v>1300</v>
      </c>
      <c r="E47" s="29" t="s">
        <v>8</v>
      </c>
      <c r="F47" s="37"/>
      <c r="G47" s="37"/>
      <c r="H47" s="37"/>
      <c r="I47" s="37"/>
      <c r="J47" s="37"/>
    </row>
    <row r="48" spans="1:10" ht="21" customHeight="1" x14ac:dyDescent="0.45">
      <c r="A48" s="3" t="s">
        <v>136</v>
      </c>
      <c r="B48" s="3"/>
      <c r="C48" s="29" t="s">
        <v>1299</v>
      </c>
      <c r="D48" s="29" t="s">
        <v>1299</v>
      </c>
      <c r="E48" s="29" t="s">
        <v>8</v>
      </c>
      <c r="F48" s="37"/>
      <c r="G48" s="37"/>
      <c r="H48" s="37"/>
      <c r="I48" s="37"/>
      <c r="J48" s="37"/>
    </row>
    <row r="49" spans="1:10" ht="21" customHeight="1" x14ac:dyDescent="0.45">
      <c r="A49" s="3" t="s">
        <v>1340</v>
      </c>
      <c r="B49" s="3"/>
      <c r="C49" s="29" t="s">
        <v>1299</v>
      </c>
      <c r="D49" s="29" t="s">
        <v>1299</v>
      </c>
      <c r="E49" s="29" t="s">
        <v>8</v>
      </c>
      <c r="F49" s="37"/>
      <c r="G49" s="37"/>
      <c r="H49" s="37"/>
      <c r="I49" s="37"/>
      <c r="J49" s="37"/>
    </row>
    <row r="50" spans="1:10" ht="21" customHeight="1" x14ac:dyDescent="0.45">
      <c r="A50" s="3" t="s">
        <v>1341</v>
      </c>
      <c r="B50" s="3"/>
      <c r="C50" s="29" t="s">
        <v>1299</v>
      </c>
      <c r="D50" s="29" t="s">
        <v>1299</v>
      </c>
      <c r="E50" s="29" t="s">
        <v>8</v>
      </c>
      <c r="F50" s="37"/>
      <c r="G50" s="37"/>
      <c r="H50" s="37"/>
      <c r="I50" s="37"/>
      <c r="J50" s="37"/>
    </row>
    <row r="51" spans="1:10" ht="21" customHeight="1" x14ac:dyDescent="0.45">
      <c r="A51" s="3" t="s">
        <v>1342</v>
      </c>
      <c r="B51" s="3"/>
      <c r="C51" s="29" t="s">
        <v>1300</v>
      </c>
      <c r="D51" s="29" t="s">
        <v>1300</v>
      </c>
      <c r="E51" s="29" t="s">
        <v>8</v>
      </c>
      <c r="F51" s="37"/>
      <c r="G51" s="37"/>
      <c r="H51" s="37"/>
      <c r="I51" s="37"/>
      <c r="J51" s="37"/>
    </row>
  </sheetData>
  <pageMargins left="0.7" right="0.7" top="0.78749999999999998" bottom="0.78749999999999998" header="0.511811023622047" footer="0.511811023622047"/>
  <pageSetup paperSize="9" orientation="portrait" horizontalDpi="300" verticalDpi="300" r:id="rId1"/>
  <tableParts count="3">
    <tablePart r:id="rId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64"/>
  <sheetViews>
    <sheetView zoomScale="70" zoomScaleNormal="70" workbookViewId="0">
      <selection activeCell="C12" sqref="C12"/>
    </sheetView>
  </sheetViews>
  <sheetFormatPr baseColWidth="10" defaultColWidth="10.33203125" defaultRowHeight="14.25" customHeight="1" x14ac:dyDescent="0.45"/>
  <cols>
    <col min="1" max="1" width="71.265625" customWidth="1"/>
    <col min="2" max="2" width="61.33203125" customWidth="1"/>
    <col min="3" max="3" width="25.06640625" customWidth="1"/>
    <col min="4" max="4" width="30.06640625" customWidth="1"/>
    <col min="8" max="8" width="15.9296875" customWidth="1"/>
    <col min="9" max="9" width="64.9296875" customWidth="1"/>
    <col min="10" max="10" width="9.796875" customWidth="1"/>
  </cols>
  <sheetData>
    <row r="1" spans="1:10" ht="31.9" x14ac:dyDescent="0.45">
      <c r="A1" s="37" t="s">
        <v>1490</v>
      </c>
      <c r="B1" s="37"/>
      <c r="C1" s="37"/>
      <c r="D1" s="37"/>
      <c r="E1" s="37"/>
      <c r="F1" s="37"/>
      <c r="G1" s="37"/>
      <c r="H1" s="37"/>
      <c r="I1" s="37"/>
      <c r="J1" s="37"/>
    </row>
    <row r="2" spans="1:10" ht="14.25" customHeight="1" x14ac:dyDescent="0.45">
      <c r="A2" s="37"/>
      <c r="B2" s="37"/>
      <c r="C2" s="37"/>
      <c r="D2" s="37"/>
      <c r="E2" s="37"/>
      <c r="F2" s="37"/>
      <c r="G2" s="37"/>
      <c r="H2" s="37"/>
      <c r="I2" s="37"/>
      <c r="J2" s="37"/>
    </row>
    <row r="3" spans="1:10" ht="31.9" x14ac:dyDescent="0.45">
      <c r="A3" s="37"/>
      <c r="B3" s="37"/>
      <c r="C3" s="37"/>
      <c r="D3" s="37"/>
      <c r="E3" s="37"/>
      <c r="F3" s="37"/>
      <c r="G3" s="37"/>
      <c r="H3" s="37"/>
      <c r="I3" s="37"/>
      <c r="J3" s="37"/>
    </row>
    <row r="4" spans="1:10" ht="14.25" customHeight="1" x14ac:dyDescent="0.45">
      <c r="A4" s="37"/>
      <c r="B4" s="37"/>
      <c r="C4" s="37"/>
      <c r="D4" s="37"/>
      <c r="E4" s="37"/>
      <c r="F4" s="37"/>
      <c r="G4" s="37"/>
      <c r="H4" s="37"/>
      <c r="I4" s="37"/>
      <c r="J4" s="37"/>
    </row>
    <row r="5" spans="1:10" ht="21" customHeight="1" x14ac:dyDescent="0.55000000000000004">
      <c r="A5" s="13" t="s">
        <v>1</v>
      </c>
      <c r="B5" s="13" t="s">
        <v>137</v>
      </c>
      <c r="C5" s="13" t="s">
        <v>2</v>
      </c>
      <c r="D5" s="13" t="s">
        <v>3</v>
      </c>
      <c r="E5" s="13" t="s">
        <v>4</v>
      </c>
      <c r="F5" s="37"/>
      <c r="G5" s="37"/>
      <c r="H5" s="13" t="s">
        <v>5</v>
      </c>
      <c r="I5" s="13" t="s">
        <v>1</v>
      </c>
      <c r="J5" s="37"/>
    </row>
    <row r="6" spans="1:10" ht="21" customHeight="1" x14ac:dyDescent="0.45">
      <c r="A6" s="3" t="s">
        <v>1345</v>
      </c>
      <c r="B6" s="3" t="s">
        <v>1401</v>
      </c>
      <c r="C6" s="29" t="s">
        <v>1430</v>
      </c>
      <c r="D6" s="29" t="s">
        <v>1435</v>
      </c>
      <c r="E6" s="29" t="s">
        <v>8</v>
      </c>
      <c r="F6" s="37"/>
      <c r="G6" s="37"/>
      <c r="H6" s="56">
        <v>51</v>
      </c>
      <c r="I6" s="3" t="s">
        <v>131</v>
      </c>
      <c r="J6" s="37"/>
    </row>
    <row r="7" spans="1:10" ht="21" customHeight="1" x14ac:dyDescent="0.45">
      <c r="A7" s="3" t="s">
        <v>1346</v>
      </c>
      <c r="B7" s="3" t="s">
        <v>1402</v>
      </c>
      <c r="C7" s="29" t="s">
        <v>1431</v>
      </c>
      <c r="D7" s="29" t="s">
        <v>1431</v>
      </c>
      <c r="E7" s="29" t="s">
        <v>8</v>
      </c>
      <c r="F7" s="37"/>
      <c r="G7" s="37"/>
      <c r="H7" s="56">
        <v>3</v>
      </c>
      <c r="I7" s="4" t="s">
        <v>132</v>
      </c>
      <c r="J7" s="37"/>
    </row>
    <row r="8" spans="1:10" ht="21" customHeight="1" x14ac:dyDescent="0.45">
      <c r="A8" s="3" t="s">
        <v>1347</v>
      </c>
      <c r="B8" s="3"/>
      <c r="C8" s="29" t="s">
        <v>1431</v>
      </c>
      <c r="D8" s="29" t="s">
        <v>1431</v>
      </c>
      <c r="E8" s="29" t="s">
        <v>8</v>
      </c>
      <c r="F8" s="37"/>
      <c r="G8" s="37"/>
      <c r="H8" s="56">
        <v>2</v>
      </c>
      <c r="I8" s="2" t="s">
        <v>133</v>
      </c>
      <c r="J8" s="37"/>
    </row>
    <row r="9" spans="1:10" ht="21" customHeight="1" x14ac:dyDescent="0.45">
      <c r="A9" s="3" t="s">
        <v>1348</v>
      </c>
      <c r="B9" s="3"/>
      <c r="C9" s="29" t="s">
        <v>1432</v>
      </c>
      <c r="D9" s="29" t="s">
        <v>1432</v>
      </c>
      <c r="E9" s="29" t="s">
        <v>8</v>
      </c>
      <c r="F9" s="37"/>
      <c r="G9" s="37"/>
      <c r="H9" s="56">
        <v>1</v>
      </c>
      <c r="I9" t="s">
        <v>134</v>
      </c>
      <c r="J9" s="37"/>
    </row>
    <row r="10" spans="1:10" ht="21" customHeight="1" x14ac:dyDescent="0.45">
      <c r="A10" s="4" t="s">
        <v>1349</v>
      </c>
      <c r="B10" s="4" t="s">
        <v>1403</v>
      </c>
      <c r="C10" s="29" t="s">
        <v>1432</v>
      </c>
      <c r="D10" s="29" t="s">
        <v>1432</v>
      </c>
      <c r="E10" s="29" t="s">
        <v>8</v>
      </c>
      <c r="F10" s="37"/>
      <c r="G10" s="37"/>
      <c r="H10" s="37"/>
      <c r="I10" s="37"/>
      <c r="J10" s="37"/>
    </row>
    <row r="11" spans="1:10" ht="21" customHeight="1" x14ac:dyDescent="0.45">
      <c r="A11" s="3" t="s">
        <v>1350</v>
      </c>
      <c r="B11" s="3" t="s">
        <v>1404</v>
      </c>
      <c r="C11" s="29" t="s">
        <v>1432</v>
      </c>
      <c r="D11" s="29" t="s">
        <v>1432</v>
      </c>
      <c r="E11" s="29" t="s">
        <v>8</v>
      </c>
      <c r="F11" s="37"/>
      <c r="G11" s="37"/>
      <c r="H11" s="37"/>
      <c r="I11" s="37"/>
      <c r="J11" s="37"/>
    </row>
    <row r="12" spans="1:10" ht="21" customHeight="1" x14ac:dyDescent="0.55000000000000004">
      <c r="A12" s="3" t="s">
        <v>1351</v>
      </c>
      <c r="B12" s="3" t="s">
        <v>1405</v>
      </c>
      <c r="C12" s="29" t="s">
        <v>138</v>
      </c>
      <c r="D12" s="29" t="s">
        <v>1435</v>
      </c>
      <c r="E12" s="29" t="s">
        <v>8</v>
      </c>
      <c r="F12" s="37"/>
      <c r="G12" s="37"/>
      <c r="H12" s="13" t="s">
        <v>5</v>
      </c>
      <c r="I12" s="13" t="s">
        <v>3</v>
      </c>
      <c r="J12" s="37"/>
    </row>
    <row r="13" spans="1:10" ht="21" customHeight="1" x14ac:dyDescent="0.45">
      <c r="A13" s="3" t="s">
        <v>1352</v>
      </c>
      <c r="B13" s="3"/>
      <c r="C13" s="29" t="s">
        <v>1431</v>
      </c>
      <c r="D13" s="29" t="s">
        <v>1431</v>
      </c>
      <c r="E13" s="29" t="s">
        <v>8</v>
      </c>
      <c r="F13" s="37"/>
      <c r="G13" s="37"/>
      <c r="H13" s="56">
        <f>COUNTIF(Tabelle2414917[[#All],[Theme]],I13)</f>
        <v>23</v>
      </c>
      <c r="I13" s="40" t="s">
        <v>1436</v>
      </c>
      <c r="J13" s="37"/>
    </row>
    <row r="14" spans="1:10" ht="21" customHeight="1" x14ac:dyDescent="0.45">
      <c r="A14" s="3" t="s">
        <v>1353</v>
      </c>
      <c r="B14" s="3"/>
      <c r="C14" s="29" t="s">
        <v>1431</v>
      </c>
      <c r="D14" s="29" t="s">
        <v>1431</v>
      </c>
      <c r="E14" s="29" t="s">
        <v>8</v>
      </c>
      <c r="F14" s="37"/>
      <c r="G14" s="37"/>
      <c r="H14" s="56">
        <f>COUNTIF(Tabelle2414917[[#All],[Theme]],I14)</f>
        <v>12</v>
      </c>
      <c r="I14" s="40" t="s">
        <v>1435</v>
      </c>
      <c r="J14" s="37"/>
    </row>
    <row r="15" spans="1:10" ht="21" customHeight="1" x14ac:dyDescent="0.45">
      <c r="A15" s="4" t="s">
        <v>1354</v>
      </c>
      <c r="B15" s="4" t="s">
        <v>1406</v>
      </c>
      <c r="C15" s="29" t="s">
        <v>1433</v>
      </c>
      <c r="D15" s="29" t="s">
        <v>1436</v>
      </c>
      <c r="E15" s="29" t="s">
        <v>8</v>
      </c>
      <c r="F15" s="37"/>
      <c r="G15" s="37"/>
      <c r="H15" s="56">
        <f>COUNTIF(Tabelle2414917[[#All],[Theme]],I15)</f>
        <v>12</v>
      </c>
      <c r="I15" s="40" t="s">
        <v>1431</v>
      </c>
      <c r="J15" s="37"/>
    </row>
    <row r="16" spans="1:10" ht="21" customHeight="1" x14ac:dyDescent="0.45">
      <c r="A16" s="3" t="s">
        <v>1355</v>
      </c>
      <c r="B16" s="3"/>
      <c r="C16" s="29" t="s">
        <v>1432</v>
      </c>
      <c r="D16" s="29" t="s">
        <v>1432</v>
      </c>
      <c r="E16" s="29" t="s">
        <v>8</v>
      </c>
      <c r="F16" s="37"/>
      <c r="G16" s="37"/>
      <c r="H16" s="56">
        <f>COUNTIF(Tabelle2414917[[#All],[Theme]],I16)</f>
        <v>11</v>
      </c>
      <c r="I16" s="40" t="s">
        <v>1432</v>
      </c>
      <c r="J16" s="37"/>
    </row>
    <row r="17" spans="1:10" ht="21" customHeight="1" x14ac:dyDescent="0.45">
      <c r="A17" s="3" t="s">
        <v>1356</v>
      </c>
      <c r="B17" s="3"/>
      <c r="C17" s="29" t="s">
        <v>1434</v>
      </c>
      <c r="D17" s="29" t="s">
        <v>1436</v>
      </c>
      <c r="E17" s="29" t="s">
        <v>8</v>
      </c>
      <c r="F17" s="37"/>
      <c r="G17" s="37"/>
      <c r="H17" s="56">
        <f>COUNTIF(Tabelle2414917[[#All],[Theme]],I17)</f>
        <v>1</v>
      </c>
      <c r="I17" s="40" t="s">
        <v>1232</v>
      </c>
      <c r="J17" s="37"/>
    </row>
    <row r="18" spans="1:10" ht="21" customHeight="1" x14ac:dyDescent="0.45">
      <c r="A18" s="3" t="s">
        <v>1357</v>
      </c>
      <c r="B18" s="3" t="s">
        <v>1407</v>
      </c>
      <c r="C18" s="29" t="s">
        <v>138</v>
      </c>
      <c r="D18" s="29" t="s">
        <v>1435</v>
      </c>
      <c r="E18" s="29" t="s">
        <v>8</v>
      </c>
      <c r="F18" s="37"/>
      <c r="G18" s="37"/>
      <c r="H18" s="57">
        <f>SUM(H13:H17)</f>
        <v>59</v>
      </c>
      <c r="I18" s="58"/>
      <c r="J18" s="37"/>
    </row>
    <row r="19" spans="1:10" ht="21" customHeight="1" x14ac:dyDescent="0.45">
      <c r="A19" s="3" t="s">
        <v>1358</v>
      </c>
      <c r="B19" s="3" t="s">
        <v>1408</v>
      </c>
      <c r="C19" s="29" t="s">
        <v>1434</v>
      </c>
      <c r="D19" s="29" t="s">
        <v>1436</v>
      </c>
      <c r="E19" s="29" t="s">
        <v>8</v>
      </c>
      <c r="F19" s="37"/>
      <c r="G19" s="37"/>
      <c r="H19" s="37"/>
      <c r="I19" s="37"/>
      <c r="J19" s="37"/>
    </row>
    <row r="20" spans="1:10" ht="21" customHeight="1" x14ac:dyDescent="0.45">
      <c r="A20" s="3" t="s">
        <v>1359</v>
      </c>
      <c r="B20" s="3" t="s">
        <v>1409</v>
      </c>
      <c r="C20" s="29" t="s">
        <v>1433</v>
      </c>
      <c r="D20" s="29" t="s">
        <v>1436</v>
      </c>
      <c r="E20" s="29" t="s">
        <v>8</v>
      </c>
      <c r="F20" s="37"/>
      <c r="G20" s="37"/>
      <c r="H20" s="37"/>
      <c r="I20" s="37"/>
      <c r="J20" s="37"/>
    </row>
    <row r="21" spans="1:10" ht="21" customHeight="1" x14ac:dyDescent="0.45">
      <c r="A21" s="2" t="s">
        <v>1360</v>
      </c>
      <c r="B21" s="2" t="s">
        <v>1410</v>
      </c>
      <c r="C21" s="29" t="s">
        <v>1433</v>
      </c>
      <c r="D21" s="29" t="s">
        <v>1436</v>
      </c>
      <c r="E21" s="29" t="s">
        <v>8</v>
      </c>
      <c r="F21" s="37"/>
      <c r="G21" s="37"/>
      <c r="H21" s="37"/>
      <c r="I21" s="37"/>
      <c r="J21" s="37"/>
    </row>
    <row r="22" spans="1:10" ht="21" customHeight="1" x14ac:dyDescent="0.45">
      <c r="A22" s="3" t="s">
        <v>1361</v>
      </c>
      <c r="B22" s="3" t="s">
        <v>1411</v>
      </c>
      <c r="C22" s="29" t="s">
        <v>1433</v>
      </c>
      <c r="D22" s="29" t="s">
        <v>1436</v>
      </c>
      <c r="E22" s="29" t="s">
        <v>8</v>
      </c>
      <c r="F22" s="37"/>
      <c r="G22" s="37"/>
      <c r="H22" s="37"/>
      <c r="I22" s="37"/>
      <c r="J22" s="37"/>
    </row>
    <row r="23" spans="1:10" ht="21" customHeight="1" x14ac:dyDescent="0.45">
      <c r="A23" s="3" t="s">
        <v>1362</v>
      </c>
      <c r="B23" s="3"/>
      <c r="C23" s="29" t="s">
        <v>1430</v>
      </c>
      <c r="D23" s="29" t="s">
        <v>1435</v>
      </c>
      <c r="E23" s="29" t="s">
        <v>8</v>
      </c>
      <c r="F23" s="37"/>
      <c r="G23" s="37"/>
      <c r="H23" s="37"/>
      <c r="I23" s="37"/>
      <c r="J23" s="37"/>
    </row>
    <row r="24" spans="1:10" ht="21" customHeight="1" x14ac:dyDescent="0.45">
      <c r="A24" s="3" t="s">
        <v>1363</v>
      </c>
      <c r="B24" s="3" t="s">
        <v>1412</v>
      </c>
      <c r="C24" s="29" t="s">
        <v>1434</v>
      </c>
      <c r="D24" s="29" t="s">
        <v>1436</v>
      </c>
      <c r="E24" s="29" t="s">
        <v>8</v>
      </c>
      <c r="F24" s="37"/>
      <c r="G24" s="37"/>
      <c r="H24" s="37"/>
      <c r="I24" s="37"/>
      <c r="J24" s="37"/>
    </row>
    <row r="25" spans="1:10" ht="21" customHeight="1" x14ac:dyDescent="0.45">
      <c r="A25" s="3" t="s">
        <v>1364</v>
      </c>
      <c r="B25" s="3"/>
      <c r="C25" s="29" t="s">
        <v>1431</v>
      </c>
      <c r="D25" s="29" t="s">
        <v>1431</v>
      </c>
      <c r="E25" s="29" t="s">
        <v>8</v>
      </c>
      <c r="F25" s="37"/>
      <c r="G25" s="37"/>
      <c r="H25" s="37"/>
      <c r="I25" s="37"/>
      <c r="J25" s="37"/>
    </row>
    <row r="26" spans="1:10" ht="21" customHeight="1" x14ac:dyDescent="0.45">
      <c r="A26" s="3" t="s">
        <v>1365</v>
      </c>
      <c r="B26" s="3"/>
      <c r="C26" s="29" t="s">
        <v>1430</v>
      </c>
      <c r="D26" s="29" t="s">
        <v>1435</v>
      </c>
      <c r="E26" s="29" t="s">
        <v>8</v>
      </c>
      <c r="F26" s="37"/>
      <c r="G26" s="37"/>
      <c r="H26" s="37"/>
      <c r="I26" s="37"/>
      <c r="J26" s="37"/>
    </row>
    <row r="27" spans="1:10" ht="21" customHeight="1" x14ac:dyDescent="0.45">
      <c r="A27" s="3" t="s">
        <v>1366</v>
      </c>
      <c r="B27" s="3"/>
      <c r="C27" s="29" t="s">
        <v>1431</v>
      </c>
      <c r="D27" s="29" t="s">
        <v>1431</v>
      </c>
      <c r="E27" s="29" t="s">
        <v>8</v>
      </c>
      <c r="F27" s="37"/>
      <c r="G27" s="37"/>
      <c r="H27" s="37"/>
      <c r="I27" s="37"/>
      <c r="J27" s="37"/>
    </row>
    <row r="28" spans="1:10" ht="21" customHeight="1" x14ac:dyDescent="0.45">
      <c r="A28" s="3" t="s">
        <v>1367</v>
      </c>
      <c r="B28" s="3"/>
      <c r="C28" s="29" t="s">
        <v>1432</v>
      </c>
      <c r="D28" s="29" t="s">
        <v>1432</v>
      </c>
      <c r="E28" s="29" t="s">
        <v>8</v>
      </c>
      <c r="F28" s="37"/>
      <c r="G28" s="37"/>
      <c r="H28" s="37"/>
      <c r="I28" s="37"/>
      <c r="J28" s="37"/>
    </row>
    <row r="29" spans="1:10" ht="21" customHeight="1" x14ac:dyDescent="0.45">
      <c r="A29" s="3" t="s">
        <v>1368</v>
      </c>
      <c r="B29" s="3" t="s">
        <v>1413</v>
      </c>
      <c r="C29" s="29" t="s">
        <v>1434</v>
      </c>
      <c r="D29" s="29" t="s">
        <v>1436</v>
      </c>
      <c r="E29" s="29" t="s">
        <v>8</v>
      </c>
      <c r="F29" s="37"/>
      <c r="G29" s="37"/>
      <c r="H29" s="37"/>
      <c r="I29" s="37"/>
      <c r="J29" s="37"/>
    </row>
    <row r="30" spans="1:10" ht="21" customHeight="1" x14ac:dyDescent="0.45">
      <c r="A30" s="3" t="s">
        <v>1369</v>
      </c>
      <c r="B30" s="3" t="s">
        <v>1407</v>
      </c>
      <c r="C30" s="29" t="s">
        <v>138</v>
      </c>
      <c r="D30" s="29" t="s">
        <v>1435</v>
      </c>
      <c r="E30" s="29" t="s">
        <v>8</v>
      </c>
      <c r="F30" s="37"/>
      <c r="G30" s="37"/>
      <c r="H30" s="37"/>
      <c r="I30" s="37"/>
      <c r="J30" s="37"/>
    </row>
    <row r="31" spans="1:10" ht="21" customHeight="1" x14ac:dyDescent="0.45">
      <c r="A31" s="3" t="s">
        <v>1370</v>
      </c>
      <c r="B31" s="3"/>
      <c r="C31" s="29" t="s">
        <v>1430</v>
      </c>
      <c r="D31" s="29" t="s">
        <v>1435</v>
      </c>
      <c r="E31" s="29" t="s">
        <v>8</v>
      </c>
      <c r="F31" s="37"/>
      <c r="G31" s="37"/>
      <c r="H31" s="37"/>
      <c r="I31" s="37"/>
      <c r="J31" s="37"/>
    </row>
    <row r="32" spans="1:10" ht="21" customHeight="1" x14ac:dyDescent="0.45">
      <c r="A32" s="3" t="s">
        <v>1371</v>
      </c>
      <c r="B32" s="3"/>
      <c r="C32" s="29" t="s">
        <v>1434</v>
      </c>
      <c r="D32" s="29" t="s">
        <v>1436</v>
      </c>
      <c r="E32" s="29" t="s">
        <v>8</v>
      </c>
      <c r="F32" s="37"/>
      <c r="G32" s="37"/>
      <c r="H32" s="37"/>
      <c r="I32" s="37"/>
      <c r="J32" s="37"/>
    </row>
    <row r="33" spans="1:10" ht="21" customHeight="1" x14ac:dyDescent="0.45">
      <c r="A33" s="4" t="s">
        <v>1372</v>
      </c>
      <c r="B33" s="4" t="s">
        <v>1414</v>
      </c>
      <c r="C33" s="29" t="s">
        <v>1434</v>
      </c>
      <c r="D33" s="29" t="s">
        <v>1436</v>
      </c>
      <c r="E33" s="29" t="s">
        <v>8</v>
      </c>
      <c r="F33" s="37"/>
      <c r="G33" s="37"/>
      <c r="H33" s="37"/>
      <c r="I33" s="37"/>
      <c r="J33" s="37"/>
    </row>
    <row r="34" spans="1:10" ht="21" customHeight="1" x14ac:dyDescent="0.45">
      <c r="A34" s="3" t="s">
        <v>1373</v>
      </c>
      <c r="B34" s="3"/>
      <c r="C34" s="29" t="s">
        <v>1433</v>
      </c>
      <c r="D34" s="29" t="s">
        <v>1436</v>
      </c>
      <c r="E34" s="29" t="s">
        <v>8</v>
      </c>
      <c r="F34" s="37"/>
      <c r="G34" s="37"/>
      <c r="H34" s="37"/>
      <c r="I34" s="37"/>
      <c r="J34" s="37"/>
    </row>
    <row r="35" spans="1:10" ht="21" customHeight="1" x14ac:dyDescent="0.45">
      <c r="A35" s="3" t="s">
        <v>1374</v>
      </c>
      <c r="B35" s="3"/>
      <c r="C35" s="29" t="s">
        <v>1431</v>
      </c>
      <c r="D35" s="29" t="s">
        <v>1431</v>
      </c>
      <c r="E35" s="29" t="s">
        <v>8</v>
      </c>
      <c r="F35" s="37"/>
      <c r="G35" s="37"/>
      <c r="H35" s="37"/>
      <c r="I35" s="37"/>
      <c r="J35" s="37"/>
    </row>
    <row r="36" spans="1:10" ht="21" customHeight="1" x14ac:dyDescent="0.45">
      <c r="A36" s="3" t="s">
        <v>1375</v>
      </c>
      <c r="B36" s="3"/>
      <c r="C36" s="29" t="s">
        <v>1431</v>
      </c>
      <c r="D36" s="29" t="s">
        <v>1431</v>
      </c>
      <c r="E36" s="29" t="s">
        <v>8</v>
      </c>
      <c r="F36" s="37"/>
      <c r="G36" s="37"/>
      <c r="H36" s="37"/>
      <c r="I36" s="37"/>
      <c r="J36" s="37"/>
    </row>
    <row r="37" spans="1:10" ht="21" customHeight="1" x14ac:dyDescent="0.45">
      <c r="A37" s="3" t="s">
        <v>1376</v>
      </c>
      <c r="B37" s="3"/>
      <c r="C37" s="29" t="s">
        <v>138</v>
      </c>
      <c r="D37" s="29" t="s">
        <v>1435</v>
      </c>
      <c r="E37" s="29" t="s">
        <v>8</v>
      </c>
      <c r="F37" s="37"/>
      <c r="G37" s="37"/>
      <c r="H37" s="37"/>
      <c r="I37" s="37"/>
      <c r="J37" s="37"/>
    </row>
    <row r="38" spans="1:10" ht="21" customHeight="1" x14ac:dyDescent="0.45">
      <c r="A38" s="3" t="s">
        <v>1377</v>
      </c>
      <c r="B38" s="3"/>
      <c r="C38" s="29" t="s">
        <v>1433</v>
      </c>
      <c r="D38" s="29" t="s">
        <v>1436</v>
      </c>
      <c r="E38" s="29" t="s">
        <v>8</v>
      </c>
      <c r="F38" s="37"/>
      <c r="G38" s="37"/>
      <c r="H38" s="37"/>
      <c r="I38" s="37"/>
      <c r="J38" s="37"/>
    </row>
    <row r="39" spans="1:10" ht="21" customHeight="1" x14ac:dyDescent="0.45">
      <c r="A39" s="3" t="s">
        <v>1378</v>
      </c>
      <c r="B39" s="3"/>
      <c r="C39" s="29" t="s">
        <v>1432</v>
      </c>
      <c r="D39" s="29" t="s">
        <v>1432</v>
      </c>
      <c r="E39" s="29" t="s">
        <v>8</v>
      </c>
      <c r="F39" s="37"/>
      <c r="G39" s="37"/>
      <c r="H39" s="37"/>
      <c r="I39" s="37"/>
      <c r="J39" s="37"/>
    </row>
    <row r="40" spans="1:10" ht="21" customHeight="1" x14ac:dyDescent="0.45">
      <c r="A40" s="3" t="s">
        <v>1379</v>
      </c>
      <c r="B40" s="3"/>
      <c r="C40" s="29" t="s">
        <v>1432</v>
      </c>
      <c r="D40" s="29" t="s">
        <v>1432</v>
      </c>
      <c r="E40" s="29" t="s">
        <v>8</v>
      </c>
      <c r="F40" s="37"/>
      <c r="G40" s="37"/>
      <c r="H40" s="37"/>
      <c r="I40" s="37"/>
      <c r="J40" s="37"/>
    </row>
    <row r="41" spans="1:10" ht="21" customHeight="1" x14ac:dyDescent="0.45">
      <c r="A41" s="2" t="s">
        <v>1380</v>
      </c>
      <c r="B41" s="2" t="s">
        <v>1415</v>
      </c>
      <c r="C41" s="29" t="s">
        <v>1431</v>
      </c>
      <c r="D41" s="29" t="s">
        <v>1431</v>
      </c>
      <c r="E41" s="29" t="s">
        <v>8</v>
      </c>
      <c r="F41" s="37"/>
      <c r="G41" s="37"/>
      <c r="H41" s="37"/>
      <c r="I41" s="37"/>
      <c r="J41" s="37"/>
    </row>
    <row r="42" spans="1:10" ht="21" customHeight="1" x14ac:dyDescent="0.45">
      <c r="A42" s="3" t="s">
        <v>1381</v>
      </c>
      <c r="B42" s="3"/>
      <c r="C42" s="29" t="s">
        <v>1430</v>
      </c>
      <c r="D42" s="29" t="s">
        <v>1436</v>
      </c>
      <c r="E42" s="29" t="s">
        <v>8</v>
      </c>
      <c r="F42" s="37"/>
      <c r="G42" s="37"/>
      <c r="H42" s="37"/>
      <c r="I42" s="37"/>
      <c r="J42" s="37"/>
    </row>
    <row r="43" spans="1:10" ht="21" customHeight="1" x14ac:dyDescent="0.45">
      <c r="A43" s="3" t="s">
        <v>1382</v>
      </c>
      <c r="B43" s="3"/>
      <c r="C43" s="29" t="s">
        <v>1433</v>
      </c>
      <c r="D43" s="29" t="s">
        <v>1436</v>
      </c>
      <c r="E43" s="29" t="s">
        <v>8</v>
      </c>
      <c r="F43" s="37"/>
      <c r="G43" s="37"/>
      <c r="H43" s="37"/>
      <c r="I43" s="37"/>
      <c r="J43" s="37"/>
    </row>
    <row r="44" spans="1:10" ht="21" customHeight="1" x14ac:dyDescent="0.45">
      <c r="A44" s="3" t="s">
        <v>1383</v>
      </c>
      <c r="B44" s="3" t="s">
        <v>1416</v>
      </c>
      <c r="C44" s="29" t="s">
        <v>1432</v>
      </c>
      <c r="D44" s="29" t="s">
        <v>1432</v>
      </c>
      <c r="E44" s="29" t="s">
        <v>8</v>
      </c>
      <c r="F44" s="37"/>
      <c r="G44" s="37"/>
      <c r="H44" s="37"/>
      <c r="I44" s="37"/>
      <c r="J44" s="37"/>
    </row>
    <row r="45" spans="1:10" ht="21" customHeight="1" x14ac:dyDescent="0.45">
      <c r="A45" s="3" t="s">
        <v>1384</v>
      </c>
      <c r="B45" s="3"/>
      <c r="C45" s="29" t="s">
        <v>1431</v>
      </c>
      <c r="D45" s="29" t="s">
        <v>1431</v>
      </c>
      <c r="E45" s="29" t="s">
        <v>8</v>
      </c>
      <c r="F45" s="37"/>
      <c r="G45" s="37"/>
      <c r="H45" s="37"/>
      <c r="I45" s="37"/>
      <c r="J45" s="37"/>
    </row>
    <row r="46" spans="1:10" ht="21" customHeight="1" x14ac:dyDescent="0.45">
      <c r="A46" s="3" t="s">
        <v>1385</v>
      </c>
      <c r="B46" s="3" t="s">
        <v>1417</v>
      </c>
      <c r="C46" s="29" t="s">
        <v>1433</v>
      </c>
      <c r="D46" s="29" t="s">
        <v>1436</v>
      </c>
      <c r="E46" s="29" t="s">
        <v>8</v>
      </c>
      <c r="F46" s="37"/>
      <c r="G46" s="37"/>
      <c r="H46" s="37"/>
      <c r="I46" s="37"/>
      <c r="J46" s="37"/>
    </row>
    <row r="47" spans="1:10" ht="21" customHeight="1" x14ac:dyDescent="0.45">
      <c r="A47" s="3" t="s">
        <v>1386</v>
      </c>
      <c r="B47" s="3"/>
      <c r="C47" s="29" t="s">
        <v>1433</v>
      </c>
      <c r="D47" s="29" t="s">
        <v>1436</v>
      </c>
      <c r="E47" s="29" t="s">
        <v>8</v>
      </c>
      <c r="F47" s="37"/>
      <c r="G47" s="37"/>
      <c r="H47" s="37"/>
      <c r="I47" s="37"/>
      <c r="J47" s="37"/>
    </row>
    <row r="48" spans="1:10" ht="21" customHeight="1" x14ac:dyDescent="0.45">
      <c r="A48" s="3" t="s">
        <v>1377</v>
      </c>
      <c r="B48" s="3"/>
      <c r="C48" s="29" t="s">
        <v>1433</v>
      </c>
      <c r="D48" s="29" t="s">
        <v>1436</v>
      </c>
      <c r="E48" s="29" t="s">
        <v>8</v>
      </c>
      <c r="F48" s="37"/>
      <c r="G48" s="37"/>
      <c r="H48" s="37"/>
      <c r="I48" s="37"/>
      <c r="J48" s="37"/>
    </row>
    <row r="49" spans="1:10" ht="21" customHeight="1" x14ac:dyDescent="0.45">
      <c r="A49" s="3" t="s">
        <v>1387</v>
      </c>
      <c r="B49" s="3" t="s">
        <v>1418</v>
      </c>
      <c r="C49" s="29" t="s">
        <v>1431</v>
      </c>
      <c r="D49" s="29" t="s">
        <v>1431</v>
      </c>
      <c r="E49" s="29" t="s">
        <v>8</v>
      </c>
      <c r="F49" s="37"/>
      <c r="G49" s="37"/>
      <c r="H49" s="37"/>
      <c r="I49" s="37"/>
      <c r="J49" s="37"/>
    </row>
    <row r="50" spans="1:10" ht="21" customHeight="1" x14ac:dyDescent="0.45">
      <c r="A50" s="3" t="s">
        <v>1376</v>
      </c>
      <c r="B50" s="3"/>
      <c r="C50" s="29" t="s">
        <v>138</v>
      </c>
      <c r="D50" s="29" t="s">
        <v>1435</v>
      </c>
      <c r="E50" s="29" t="s">
        <v>8</v>
      </c>
      <c r="F50" s="37"/>
      <c r="G50" s="37"/>
      <c r="H50" s="37"/>
      <c r="I50" s="37"/>
      <c r="J50" s="37"/>
    </row>
    <row r="51" spans="1:10" ht="21" customHeight="1" x14ac:dyDescent="0.45">
      <c r="A51" s="3" t="s">
        <v>1388</v>
      </c>
      <c r="B51" s="3"/>
      <c r="C51" s="29" t="s">
        <v>1434</v>
      </c>
      <c r="D51" s="29" t="s">
        <v>1436</v>
      </c>
      <c r="E51" s="29" t="s">
        <v>8</v>
      </c>
      <c r="F51" s="37"/>
      <c r="G51" s="37"/>
      <c r="H51" s="37"/>
      <c r="I51" s="37"/>
      <c r="J51" s="37"/>
    </row>
    <row r="52" spans="1:10" ht="21" customHeight="1" x14ac:dyDescent="0.45">
      <c r="A52" s="3" t="s">
        <v>1389</v>
      </c>
      <c r="B52" s="3"/>
      <c r="C52" s="29" t="s">
        <v>1430</v>
      </c>
      <c r="D52" s="29" t="s">
        <v>1435</v>
      </c>
      <c r="E52" s="29" t="s">
        <v>8</v>
      </c>
      <c r="F52" s="37"/>
      <c r="G52" s="37"/>
      <c r="H52" s="37"/>
      <c r="I52" s="37"/>
      <c r="J52" s="37"/>
    </row>
    <row r="53" spans="1:10" ht="21" customHeight="1" x14ac:dyDescent="0.45">
      <c r="A53" s="3" t="s">
        <v>1381</v>
      </c>
      <c r="B53" s="3"/>
      <c r="C53" s="29" t="s">
        <v>1430</v>
      </c>
      <c r="D53" s="29" t="s">
        <v>1435</v>
      </c>
      <c r="E53" s="29" t="s">
        <v>8</v>
      </c>
      <c r="F53" s="37"/>
      <c r="G53" s="37"/>
      <c r="H53" s="37"/>
      <c r="I53" s="37"/>
      <c r="J53" s="37"/>
    </row>
    <row r="54" spans="1:10" ht="21" customHeight="1" x14ac:dyDescent="0.45">
      <c r="A54" s="3" t="s">
        <v>1390</v>
      </c>
      <c r="B54" s="3"/>
      <c r="C54" s="29" t="s">
        <v>1430</v>
      </c>
      <c r="D54" s="29" t="s">
        <v>1435</v>
      </c>
      <c r="E54" s="29" t="s">
        <v>8</v>
      </c>
      <c r="F54" s="37"/>
      <c r="G54" s="37"/>
      <c r="H54" s="37"/>
      <c r="I54" s="37"/>
      <c r="J54" s="37"/>
    </row>
    <row r="55" spans="1:10" ht="21" customHeight="1" x14ac:dyDescent="0.45">
      <c r="A55" s="3" t="s">
        <v>1391</v>
      </c>
      <c r="B55" s="3"/>
      <c r="C55" s="29" t="s">
        <v>1434</v>
      </c>
      <c r="D55" s="29" t="s">
        <v>1436</v>
      </c>
      <c r="E55" s="29" t="s">
        <v>8</v>
      </c>
      <c r="F55" s="37"/>
      <c r="G55" s="37"/>
      <c r="H55" s="37"/>
      <c r="I55" s="37"/>
      <c r="J55" s="37"/>
    </row>
    <row r="56" spans="1:10" ht="21" customHeight="1" x14ac:dyDescent="0.45">
      <c r="A56" s="5" t="s">
        <v>1392</v>
      </c>
      <c r="B56" s="5"/>
      <c r="C56" s="29"/>
      <c r="D56" s="29" t="s">
        <v>1232</v>
      </c>
      <c r="E56" s="29" t="s">
        <v>8</v>
      </c>
      <c r="F56" s="37"/>
      <c r="G56" s="37"/>
      <c r="H56" s="37"/>
      <c r="I56" s="37"/>
      <c r="J56" s="37"/>
    </row>
    <row r="57" spans="1:10" ht="21" customHeight="1" x14ac:dyDescent="0.45">
      <c r="A57" s="3" t="s">
        <v>1393</v>
      </c>
      <c r="B57" s="3" t="s">
        <v>1419</v>
      </c>
      <c r="C57" s="29" t="s">
        <v>1430</v>
      </c>
      <c r="D57" s="29" t="s">
        <v>1436</v>
      </c>
      <c r="E57" s="29" t="s">
        <v>8</v>
      </c>
      <c r="F57" s="37"/>
      <c r="G57" s="37"/>
      <c r="H57" s="37"/>
      <c r="I57" s="37"/>
      <c r="J57" s="37"/>
    </row>
    <row r="58" spans="1:10" ht="21" customHeight="1" x14ac:dyDescent="0.45">
      <c r="A58" s="3" t="s">
        <v>1394</v>
      </c>
      <c r="B58" s="3"/>
      <c r="C58" s="29" t="s">
        <v>1433</v>
      </c>
      <c r="D58" s="29" t="s">
        <v>1436</v>
      </c>
      <c r="E58" s="29" t="s">
        <v>8</v>
      </c>
      <c r="F58" s="37"/>
      <c r="G58" s="37"/>
      <c r="H58" s="37"/>
      <c r="I58" s="37"/>
      <c r="J58" s="37"/>
    </row>
    <row r="59" spans="1:10" ht="21" customHeight="1" x14ac:dyDescent="0.45">
      <c r="A59" s="3" t="s">
        <v>1395</v>
      </c>
      <c r="B59" s="3"/>
      <c r="C59" s="29" t="s">
        <v>1433</v>
      </c>
      <c r="D59" s="29" t="s">
        <v>1436</v>
      </c>
      <c r="E59" s="29" t="s">
        <v>8</v>
      </c>
      <c r="F59" s="37"/>
      <c r="G59" s="37"/>
      <c r="H59" s="37"/>
      <c r="I59" s="37"/>
      <c r="J59" s="37"/>
    </row>
    <row r="60" spans="1:10" ht="21" customHeight="1" x14ac:dyDescent="0.45">
      <c r="A60" s="3" t="s">
        <v>1396</v>
      </c>
      <c r="B60" s="3"/>
      <c r="C60" s="29" t="s">
        <v>1433</v>
      </c>
      <c r="D60" s="29" t="s">
        <v>1436</v>
      </c>
      <c r="E60" s="29" t="s">
        <v>8</v>
      </c>
      <c r="F60" s="37"/>
      <c r="G60" s="37"/>
      <c r="H60" s="37"/>
      <c r="I60" s="37"/>
      <c r="J60" s="37"/>
    </row>
    <row r="61" spans="1:10" ht="21" customHeight="1" x14ac:dyDescent="0.45">
      <c r="A61" s="3" t="s">
        <v>1397</v>
      </c>
      <c r="B61" s="3"/>
      <c r="C61" s="29" t="s">
        <v>1431</v>
      </c>
      <c r="D61" s="29" t="s">
        <v>1431</v>
      </c>
      <c r="E61" s="29" t="s">
        <v>8</v>
      </c>
      <c r="F61" s="37"/>
      <c r="G61" s="37"/>
      <c r="H61" s="37"/>
      <c r="I61" s="37"/>
      <c r="J61" s="37"/>
    </row>
    <row r="62" spans="1:10" ht="21" customHeight="1" x14ac:dyDescent="0.45">
      <c r="A62" s="3" t="s">
        <v>1398</v>
      </c>
      <c r="B62" s="3"/>
      <c r="C62" s="29" t="s">
        <v>1432</v>
      </c>
      <c r="D62" s="29" t="s">
        <v>1432</v>
      </c>
      <c r="E62" s="29" t="s">
        <v>8</v>
      </c>
      <c r="F62" s="37"/>
      <c r="G62" s="37"/>
      <c r="H62" s="37"/>
      <c r="I62" s="37"/>
      <c r="J62" s="37"/>
    </row>
    <row r="63" spans="1:10" ht="21" customHeight="1" x14ac:dyDescent="0.45">
      <c r="A63" s="3" t="s">
        <v>1399</v>
      </c>
      <c r="B63" s="3"/>
      <c r="C63" s="29" t="s">
        <v>1432</v>
      </c>
      <c r="D63" s="29" t="s">
        <v>1432</v>
      </c>
      <c r="E63" s="29" t="s">
        <v>8</v>
      </c>
      <c r="F63" s="37"/>
      <c r="G63" s="37"/>
      <c r="H63" s="37"/>
      <c r="I63" s="37"/>
      <c r="J63" s="37"/>
    </row>
    <row r="64" spans="1:10" ht="21" customHeight="1" x14ac:dyDescent="0.45">
      <c r="A64" s="3" t="s">
        <v>1400</v>
      </c>
      <c r="B64" s="3"/>
      <c r="C64" s="29" t="s">
        <v>1432</v>
      </c>
      <c r="D64" s="29" t="s">
        <v>1432</v>
      </c>
      <c r="E64" s="29" t="s">
        <v>8</v>
      </c>
      <c r="F64" s="37"/>
      <c r="G64" s="37"/>
      <c r="H64" s="37"/>
      <c r="I64" s="37"/>
      <c r="J64" s="37"/>
    </row>
  </sheetData>
  <pageMargins left="0.7" right="0.7" top="0.78749999999999998" bottom="0.78749999999999998" header="0.511811023622047" footer="0.511811023622047"/>
  <pageSetup paperSize="9" orientation="portrait" horizontalDpi="300" verticalDpi="300" r:id="rId1"/>
  <tableParts count="3">
    <tablePart r:id="rId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46"/>
  <sheetViews>
    <sheetView zoomScale="75" zoomScaleNormal="85" workbookViewId="0">
      <selection activeCell="B12" sqref="B12"/>
    </sheetView>
  </sheetViews>
  <sheetFormatPr baseColWidth="10" defaultColWidth="10.33203125" defaultRowHeight="14.25" customHeight="1" x14ac:dyDescent="0.45"/>
  <cols>
    <col min="1" max="1" width="71.265625" customWidth="1"/>
    <col min="2" max="2" width="35.59765625" customWidth="1"/>
    <col min="3" max="3" width="25.06640625" customWidth="1"/>
    <col min="4" max="4" width="19.59765625" customWidth="1"/>
    <col min="5" max="5" width="13.796875" customWidth="1"/>
    <col min="8" max="8" width="15.59765625" customWidth="1"/>
    <col min="9" max="9" width="65.19921875" customWidth="1"/>
  </cols>
  <sheetData>
    <row r="1" spans="1:10" ht="31.9" x14ac:dyDescent="0.45">
      <c r="A1" s="37" t="s">
        <v>1491</v>
      </c>
      <c r="B1" s="37"/>
      <c r="C1" s="37"/>
      <c r="D1" s="37"/>
      <c r="E1" s="37"/>
      <c r="F1" s="37"/>
      <c r="G1" s="37"/>
      <c r="H1" s="37"/>
      <c r="I1" s="37"/>
      <c r="J1" s="37"/>
    </row>
    <row r="2" spans="1:10" ht="14.25" customHeight="1" x14ac:dyDescent="0.45">
      <c r="A2" s="37"/>
      <c r="B2" s="37"/>
      <c r="C2" s="37"/>
      <c r="D2" s="37"/>
      <c r="E2" s="37"/>
      <c r="F2" s="37"/>
      <c r="G2" s="37"/>
      <c r="H2" s="37"/>
      <c r="I2" s="37"/>
      <c r="J2" s="37"/>
    </row>
    <row r="3" spans="1:10" ht="31.9" x14ac:dyDescent="0.45">
      <c r="A3" s="37"/>
      <c r="B3" s="37"/>
      <c r="C3" s="37"/>
      <c r="D3" s="37"/>
      <c r="E3" s="37"/>
      <c r="F3" s="37"/>
      <c r="G3" s="37"/>
      <c r="H3" s="37"/>
      <c r="I3" s="37"/>
      <c r="J3" s="37"/>
    </row>
    <row r="4" spans="1:10" ht="14.25" customHeight="1" x14ac:dyDescent="0.45">
      <c r="A4" s="37"/>
      <c r="B4" s="37"/>
      <c r="C4" s="37"/>
      <c r="D4" s="37"/>
      <c r="E4" s="37"/>
      <c r="F4" s="37"/>
      <c r="G4" s="37"/>
      <c r="H4" s="37"/>
      <c r="I4" s="37"/>
      <c r="J4" s="37"/>
    </row>
    <row r="5" spans="1:10" ht="21" customHeight="1" x14ac:dyDescent="0.55000000000000004">
      <c r="A5" s="13" t="s">
        <v>1</v>
      </c>
      <c r="B5" s="13" t="s">
        <v>137</v>
      </c>
      <c r="C5" s="13" t="s">
        <v>2</v>
      </c>
      <c r="D5" s="13" t="s">
        <v>3</v>
      </c>
      <c r="E5" s="13" t="s">
        <v>4</v>
      </c>
      <c r="F5" s="37"/>
      <c r="G5" s="37"/>
      <c r="H5" s="13" t="s">
        <v>5</v>
      </c>
      <c r="I5" s="13" t="s">
        <v>1</v>
      </c>
      <c r="J5" s="37"/>
    </row>
    <row r="6" spans="1:10" ht="21" customHeight="1" x14ac:dyDescent="0.45">
      <c r="A6" s="3" t="s">
        <v>1437</v>
      </c>
      <c r="B6" s="3"/>
      <c r="C6" s="29" t="s">
        <v>1483</v>
      </c>
      <c r="D6" s="29" t="s">
        <v>1435</v>
      </c>
      <c r="E6" s="29" t="s">
        <v>8</v>
      </c>
      <c r="F6" s="37"/>
      <c r="G6" s="37"/>
      <c r="H6" s="56">
        <v>24</v>
      </c>
      <c r="I6" s="3" t="s">
        <v>131</v>
      </c>
      <c r="J6" s="37"/>
    </row>
    <row r="7" spans="1:10" ht="21" customHeight="1" x14ac:dyDescent="0.45">
      <c r="A7" s="3" t="s">
        <v>1438</v>
      </c>
      <c r="B7" s="3" t="s">
        <v>1402</v>
      </c>
      <c r="C7" s="29" t="s">
        <v>1484</v>
      </c>
      <c r="D7" s="29" t="s">
        <v>1431</v>
      </c>
      <c r="E7" s="29" t="s">
        <v>8</v>
      </c>
      <c r="F7" s="37"/>
      <c r="G7" s="37"/>
      <c r="H7" s="56">
        <v>5</v>
      </c>
      <c r="I7" s="4" t="s">
        <v>132</v>
      </c>
      <c r="J7" s="37"/>
    </row>
    <row r="8" spans="1:10" ht="21" customHeight="1" x14ac:dyDescent="0.45">
      <c r="A8" s="3" t="s">
        <v>1439</v>
      </c>
      <c r="B8" s="3"/>
      <c r="C8" s="29" t="s">
        <v>1484</v>
      </c>
      <c r="D8" s="29" t="s">
        <v>1435</v>
      </c>
      <c r="E8" s="29" t="s">
        <v>8</v>
      </c>
      <c r="F8" s="37"/>
      <c r="G8" s="37"/>
      <c r="H8" s="56">
        <v>3</v>
      </c>
      <c r="I8" s="2" t="s">
        <v>133</v>
      </c>
      <c r="J8" s="37"/>
    </row>
    <row r="9" spans="1:10" ht="21" customHeight="1" x14ac:dyDescent="0.45">
      <c r="A9" s="3" t="s">
        <v>1440</v>
      </c>
      <c r="B9" s="3"/>
      <c r="C9" s="29" t="s">
        <v>1484</v>
      </c>
      <c r="D9" s="29" t="s">
        <v>1431</v>
      </c>
      <c r="E9" s="29" t="s">
        <v>8</v>
      </c>
      <c r="F9" s="37"/>
      <c r="G9" s="37"/>
      <c r="H9" s="56">
        <v>3</v>
      </c>
      <c r="I9" t="s">
        <v>134</v>
      </c>
      <c r="J9" s="37"/>
    </row>
    <row r="10" spans="1:10" ht="21" customHeight="1" x14ac:dyDescent="0.45">
      <c r="A10" s="2" t="s">
        <v>1441</v>
      </c>
      <c r="B10" s="2" t="s">
        <v>1471</v>
      </c>
      <c r="C10" s="29" t="s">
        <v>1485</v>
      </c>
      <c r="D10" s="29" t="s">
        <v>1436</v>
      </c>
      <c r="E10" s="29" t="s">
        <v>8</v>
      </c>
      <c r="F10" s="37"/>
      <c r="G10" s="37"/>
      <c r="H10" s="37"/>
      <c r="I10" s="37"/>
      <c r="J10" s="37"/>
    </row>
    <row r="11" spans="1:10" ht="21" customHeight="1" x14ac:dyDescent="0.45">
      <c r="A11" s="3" t="s">
        <v>1442</v>
      </c>
      <c r="B11" s="3" t="s">
        <v>1472</v>
      </c>
      <c r="C11" s="29" t="s">
        <v>1485</v>
      </c>
      <c r="D11" s="29" t="s">
        <v>1436</v>
      </c>
      <c r="E11" s="29" t="s">
        <v>8</v>
      </c>
      <c r="F11" s="37"/>
      <c r="G11" s="37"/>
      <c r="H11" s="37"/>
      <c r="I11" s="37"/>
      <c r="J11" s="37"/>
    </row>
    <row r="12" spans="1:10" ht="21" customHeight="1" x14ac:dyDescent="0.55000000000000004">
      <c r="A12" s="4" t="s">
        <v>1443</v>
      </c>
      <c r="B12" s="4" t="s">
        <v>1473</v>
      </c>
      <c r="C12" s="29" t="s">
        <v>1486</v>
      </c>
      <c r="D12" s="29" t="s">
        <v>1432</v>
      </c>
      <c r="E12" s="29" t="s">
        <v>8</v>
      </c>
      <c r="F12" s="37"/>
      <c r="G12" s="37"/>
      <c r="H12" s="13" t="s">
        <v>5</v>
      </c>
      <c r="I12" s="13" t="s">
        <v>3</v>
      </c>
      <c r="J12" s="37"/>
    </row>
    <row r="13" spans="1:10" ht="21" customHeight="1" x14ac:dyDescent="0.45">
      <c r="A13" s="3" t="s">
        <v>1444</v>
      </c>
      <c r="B13" s="3"/>
      <c r="C13" s="29" t="s">
        <v>1484</v>
      </c>
      <c r="D13" s="29" t="s">
        <v>1431</v>
      </c>
      <c r="E13" s="29" t="s">
        <v>8</v>
      </c>
      <c r="F13" s="37"/>
      <c r="G13" s="37"/>
      <c r="H13" s="56">
        <f>COUNTIF(Tabelle241491721[[#All],[Theme]],I13)</f>
        <v>10</v>
      </c>
      <c r="I13" s="40" t="s">
        <v>1435</v>
      </c>
      <c r="J13" s="37"/>
    </row>
    <row r="14" spans="1:10" ht="21" customHeight="1" x14ac:dyDescent="0.45">
      <c r="A14" s="3" t="s">
        <v>1445</v>
      </c>
      <c r="B14" s="3"/>
      <c r="C14" s="29" t="s">
        <v>1484</v>
      </c>
      <c r="D14" s="29" t="s">
        <v>1431</v>
      </c>
      <c r="E14" s="29" t="s">
        <v>8</v>
      </c>
      <c r="F14" s="37"/>
      <c r="G14" s="37"/>
      <c r="H14" s="56">
        <f>COUNTIF(Tabelle241491721[[#All],[Theme]],I14)</f>
        <v>8</v>
      </c>
      <c r="I14" s="40" t="s">
        <v>1436</v>
      </c>
      <c r="J14" s="37"/>
    </row>
    <row r="15" spans="1:10" ht="21" customHeight="1" x14ac:dyDescent="0.45">
      <c r="A15" t="s">
        <v>1446</v>
      </c>
      <c r="C15" s="29" t="s">
        <v>1232</v>
      </c>
      <c r="D15" s="29" t="s">
        <v>1232</v>
      </c>
      <c r="E15" s="29" t="s">
        <v>8</v>
      </c>
      <c r="F15" s="37"/>
      <c r="G15" s="37"/>
      <c r="H15" s="56">
        <f>COUNTIF(Tabelle241491721[[#All],[Theme]],I15)</f>
        <v>8</v>
      </c>
      <c r="I15" s="40" t="s">
        <v>1431</v>
      </c>
      <c r="J15" s="37"/>
    </row>
    <row r="16" spans="1:10" ht="21" customHeight="1" x14ac:dyDescent="0.45">
      <c r="A16" s="3" t="s">
        <v>1447</v>
      </c>
      <c r="B16" s="3"/>
      <c r="C16" s="29" t="s">
        <v>1485</v>
      </c>
      <c r="D16" s="29" t="s">
        <v>1436</v>
      </c>
      <c r="E16" s="29" t="s">
        <v>8</v>
      </c>
      <c r="F16" s="37"/>
      <c r="G16" s="37"/>
      <c r="H16" s="56">
        <f>COUNTIF(Tabelle241491721[[#All],[Theme]],I16)</f>
        <v>8</v>
      </c>
      <c r="I16" s="40" t="s">
        <v>1432</v>
      </c>
      <c r="J16" s="37"/>
    </row>
    <row r="17" spans="1:10" ht="21" customHeight="1" x14ac:dyDescent="0.45">
      <c r="A17" s="3" t="s">
        <v>1448</v>
      </c>
      <c r="B17" s="3"/>
      <c r="C17" s="29" t="s">
        <v>1486</v>
      </c>
      <c r="D17" s="29" t="s">
        <v>1432</v>
      </c>
      <c r="E17" s="29" t="s">
        <v>8</v>
      </c>
      <c r="F17" s="37"/>
      <c r="G17" s="37"/>
      <c r="H17" s="56">
        <f>COUNTIF(Tabelle241491721[[#All],[Theme]],I17)</f>
        <v>1</v>
      </c>
      <c r="I17" s="40" t="s">
        <v>1232</v>
      </c>
      <c r="J17" s="37"/>
    </row>
    <row r="18" spans="1:10" ht="21" customHeight="1" x14ac:dyDescent="0.45">
      <c r="A18" s="3" t="s">
        <v>1449</v>
      </c>
      <c r="B18" s="3"/>
      <c r="C18" s="29" t="s">
        <v>1487</v>
      </c>
      <c r="D18" s="29" t="s">
        <v>1436</v>
      </c>
      <c r="E18" s="29" t="s">
        <v>8</v>
      </c>
      <c r="F18" s="37"/>
      <c r="G18" s="37"/>
      <c r="H18" s="57">
        <f>SUM(H13:H17)</f>
        <v>35</v>
      </c>
      <c r="I18" s="58"/>
      <c r="J18" s="37"/>
    </row>
    <row r="19" spans="1:10" ht="21" customHeight="1" x14ac:dyDescent="0.45">
      <c r="A19" s="3" t="s">
        <v>1450</v>
      </c>
      <c r="B19" s="3"/>
      <c r="C19" s="29" t="s">
        <v>1486</v>
      </c>
      <c r="D19" s="29" t="s">
        <v>1432</v>
      </c>
      <c r="E19" s="29" t="s">
        <v>8</v>
      </c>
      <c r="F19" s="37"/>
      <c r="G19" s="37"/>
      <c r="H19" s="37"/>
      <c r="I19" s="37"/>
      <c r="J19" s="37"/>
    </row>
    <row r="20" spans="1:10" ht="21" customHeight="1" x14ac:dyDescent="0.45">
      <c r="A20" s="4" t="s">
        <v>1451</v>
      </c>
      <c r="B20" s="4" t="s">
        <v>1474</v>
      </c>
      <c r="C20" s="29" t="s">
        <v>1484</v>
      </c>
      <c r="D20" s="29" t="s">
        <v>1431</v>
      </c>
      <c r="E20" s="29" t="s">
        <v>8</v>
      </c>
      <c r="F20" s="37"/>
      <c r="G20" s="37"/>
      <c r="H20" s="37"/>
      <c r="I20" s="37"/>
      <c r="J20" s="37"/>
    </row>
    <row r="21" spans="1:10" ht="21" customHeight="1" x14ac:dyDescent="0.45">
      <c r="A21" s="3" t="s">
        <v>1452</v>
      </c>
      <c r="B21" s="3"/>
      <c r="C21" s="29" t="s">
        <v>1486</v>
      </c>
      <c r="D21" s="29" t="s">
        <v>1432</v>
      </c>
      <c r="E21" s="29" t="s">
        <v>8</v>
      </c>
      <c r="F21" s="37"/>
      <c r="G21" s="37"/>
      <c r="H21" s="37"/>
      <c r="I21" s="37"/>
      <c r="J21" s="37"/>
    </row>
    <row r="22" spans="1:10" ht="21" customHeight="1" x14ac:dyDescent="0.45">
      <c r="A22" s="3" t="s">
        <v>1453</v>
      </c>
      <c r="B22" s="3"/>
      <c r="C22" s="29" t="s">
        <v>1483</v>
      </c>
      <c r="D22" s="29" t="s">
        <v>1435</v>
      </c>
      <c r="E22" s="29" t="s">
        <v>8</v>
      </c>
      <c r="F22" s="37"/>
      <c r="G22" s="37"/>
      <c r="H22" s="37"/>
      <c r="I22" s="37"/>
      <c r="J22" s="37"/>
    </row>
    <row r="23" spans="1:10" ht="21" customHeight="1" x14ac:dyDescent="0.45">
      <c r="A23" s="4" t="s">
        <v>1454</v>
      </c>
      <c r="B23" s="4" t="s">
        <v>1475</v>
      </c>
      <c r="C23" s="29" t="s">
        <v>1483</v>
      </c>
      <c r="D23" s="29" t="s">
        <v>1435</v>
      </c>
      <c r="E23" s="29" t="s">
        <v>8</v>
      </c>
      <c r="F23" s="37"/>
      <c r="G23" s="37"/>
      <c r="H23" s="37"/>
      <c r="I23" s="37"/>
      <c r="J23" s="37"/>
    </row>
    <row r="24" spans="1:10" ht="21" customHeight="1" x14ac:dyDescent="0.45">
      <c r="A24" s="2" t="s">
        <v>1455</v>
      </c>
      <c r="B24" s="2" t="s">
        <v>1476</v>
      </c>
      <c r="C24" s="29" t="s">
        <v>1483</v>
      </c>
      <c r="D24" s="29" t="s">
        <v>1435</v>
      </c>
      <c r="E24" s="29" t="s">
        <v>8</v>
      </c>
      <c r="F24" s="37"/>
      <c r="G24" s="37"/>
      <c r="H24" s="37"/>
      <c r="I24" s="37"/>
      <c r="J24" s="37"/>
    </row>
    <row r="25" spans="1:10" ht="21" customHeight="1" x14ac:dyDescent="0.45">
      <c r="A25" s="3" t="s">
        <v>1456</v>
      </c>
      <c r="B25" s="3"/>
      <c r="C25" s="29" t="s">
        <v>138</v>
      </c>
      <c r="D25" s="29" t="s">
        <v>1435</v>
      </c>
      <c r="E25" s="29" t="s">
        <v>8</v>
      </c>
      <c r="F25" s="37"/>
      <c r="G25" s="37"/>
      <c r="H25" s="37"/>
      <c r="I25" s="37"/>
      <c r="J25" s="37"/>
    </row>
    <row r="26" spans="1:10" ht="21" customHeight="1" x14ac:dyDescent="0.45">
      <c r="A26" s="3" t="s">
        <v>1457</v>
      </c>
      <c r="B26" s="3"/>
      <c r="C26" s="29" t="s">
        <v>1485</v>
      </c>
      <c r="D26" s="29" t="s">
        <v>1436</v>
      </c>
      <c r="E26" s="29" t="s">
        <v>8</v>
      </c>
      <c r="F26" s="37"/>
      <c r="G26" s="37"/>
      <c r="H26" s="37"/>
      <c r="I26" s="37"/>
      <c r="J26" s="37"/>
    </row>
    <row r="27" spans="1:10" ht="21" customHeight="1" x14ac:dyDescent="0.45">
      <c r="A27" s="3" t="s">
        <v>1458</v>
      </c>
      <c r="B27" s="3"/>
      <c r="C27" s="29" t="s">
        <v>1486</v>
      </c>
      <c r="D27" s="29" t="s">
        <v>1432</v>
      </c>
      <c r="E27" s="29" t="s">
        <v>8</v>
      </c>
      <c r="F27" s="37"/>
      <c r="G27" s="37"/>
      <c r="H27" s="37"/>
      <c r="I27" s="37"/>
      <c r="J27" s="37"/>
    </row>
    <row r="28" spans="1:10" ht="21" customHeight="1" x14ac:dyDescent="0.45">
      <c r="A28" s="3" t="s">
        <v>1459</v>
      </c>
      <c r="B28" s="3" t="s">
        <v>1477</v>
      </c>
      <c r="C28" s="29" t="s">
        <v>1486</v>
      </c>
      <c r="D28" s="29" t="s">
        <v>1432</v>
      </c>
      <c r="E28" s="29" t="s">
        <v>8</v>
      </c>
      <c r="F28" s="37"/>
      <c r="G28" s="37"/>
      <c r="H28" s="37"/>
      <c r="I28" s="37"/>
      <c r="J28" s="37"/>
    </row>
    <row r="29" spans="1:10" ht="21" customHeight="1" x14ac:dyDescent="0.45">
      <c r="A29" s="3" t="s">
        <v>1460</v>
      </c>
      <c r="B29" s="3"/>
      <c r="C29" s="29" t="s">
        <v>1483</v>
      </c>
      <c r="D29" s="29" t="s">
        <v>1435</v>
      </c>
      <c r="E29" s="29" t="s">
        <v>8</v>
      </c>
      <c r="F29" s="37"/>
      <c r="G29" s="37"/>
      <c r="H29" s="37"/>
      <c r="I29" s="37"/>
      <c r="J29" s="37"/>
    </row>
    <row r="30" spans="1:10" ht="21" customHeight="1" x14ac:dyDescent="0.45">
      <c r="A30" s="4" t="s">
        <v>1461</v>
      </c>
      <c r="B30" s="4" t="s">
        <v>1478</v>
      </c>
      <c r="C30" s="29" t="s">
        <v>1485</v>
      </c>
      <c r="D30" s="29" t="s">
        <v>1436</v>
      </c>
      <c r="E30" s="29" t="s">
        <v>8</v>
      </c>
      <c r="F30" s="37"/>
      <c r="G30" s="37"/>
      <c r="H30" s="37"/>
      <c r="I30" s="37"/>
      <c r="J30" s="37"/>
    </row>
    <row r="31" spans="1:10" ht="21" customHeight="1" x14ac:dyDescent="0.45">
      <c r="A31" s="2" t="s">
        <v>1462</v>
      </c>
      <c r="B31" s="2" t="s">
        <v>1479</v>
      </c>
      <c r="C31" s="29" t="s">
        <v>1484</v>
      </c>
      <c r="D31" s="29" t="s">
        <v>1431</v>
      </c>
      <c r="E31" s="29" t="s">
        <v>8</v>
      </c>
      <c r="F31" s="37"/>
      <c r="G31" s="37"/>
      <c r="H31" s="37"/>
      <c r="I31" s="37"/>
      <c r="J31" s="37"/>
    </row>
    <row r="32" spans="1:10" ht="21" customHeight="1" x14ac:dyDescent="0.45">
      <c r="A32" s="3" t="s">
        <v>1463</v>
      </c>
      <c r="B32" s="3" t="s">
        <v>1480</v>
      </c>
      <c r="C32" s="29" t="s">
        <v>1486</v>
      </c>
      <c r="D32" s="29" t="s">
        <v>1432</v>
      </c>
      <c r="E32" s="29" t="s">
        <v>8</v>
      </c>
      <c r="F32" s="37"/>
      <c r="G32" s="37"/>
      <c r="H32" s="37"/>
      <c r="I32" s="37"/>
      <c r="J32" s="37"/>
    </row>
    <row r="33" spans="1:10" ht="21" customHeight="1" x14ac:dyDescent="0.45">
      <c r="A33" s="3" t="s">
        <v>1464</v>
      </c>
      <c r="B33" s="3"/>
      <c r="C33" s="29" t="s">
        <v>1485</v>
      </c>
      <c r="D33" s="29" t="s">
        <v>1436</v>
      </c>
      <c r="E33" s="29" t="s">
        <v>8</v>
      </c>
      <c r="F33" s="37"/>
      <c r="G33" s="37"/>
      <c r="H33" s="37"/>
      <c r="I33" s="37"/>
      <c r="J33" s="37"/>
    </row>
    <row r="34" spans="1:10" ht="21" customHeight="1" x14ac:dyDescent="0.45">
      <c r="A34" s="5" t="s">
        <v>1465</v>
      </c>
      <c r="B34" s="5"/>
      <c r="C34" s="29" t="s">
        <v>1483</v>
      </c>
      <c r="D34" s="29" t="s">
        <v>1435</v>
      </c>
      <c r="E34" s="29" t="s">
        <v>8</v>
      </c>
      <c r="F34" s="37"/>
      <c r="G34" s="37"/>
      <c r="H34" s="37"/>
      <c r="I34" s="37"/>
      <c r="J34" s="37"/>
    </row>
    <row r="35" spans="1:10" ht="21" customHeight="1" x14ac:dyDescent="0.45">
      <c r="A35" s="3" t="s">
        <v>1466</v>
      </c>
      <c r="B35" s="3"/>
      <c r="C35" s="29" t="s">
        <v>1483</v>
      </c>
      <c r="D35" s="29" t="s">
        <v>1435</v>
      </c>
      <c r="E35" s="29" t="s">
        <v>8</v>
      </c>
      <c r="F35" s="37"/>
      <c r="G35" s="37"/>
      <c r="H35" s="37"/>
      <c r="I35" s="37"/>
      <c r="J35" s="37"/>
    </row>
    <row r="36" spans="1:10" ht="21" customHeight="1" x14ac:dyDescent="0.45">
      <c r="A36" s="3" t="s">
        <v>138</v>
      </c>
      <c r="B36" s="3"/>
      <c r="C36" s="29" t="s">
        <v>138</v>
      </c>
      <c r="D36" s="29" t="s">
        <v>1435</v>
      </c>
      <c r="E36" s="29" t="s">
        <v>8</v>
      </c>
      <c r="F36" s="37"/>
      <c r="G36" s="37"/>
      <c r="H36" s="37"/>
      <c r="I36" s="37"/>
      <c r="J36" s="37"/>
    </row>
    <row r="37" spans="1:10" ht="21" customHeight="1" x14ac:dyDescent="0.45">
      <c r="A37" s="3" t="s">
        <v>1467</v>
      </c>
      <c r="B37" s="3"/>
      <c r="C37" s="29" t="s">
        <v>1484</v>
      </c>
      <c r="D37" s="29" t="s">
        <v>1431</v>
      </c>
      <c r="E37" s="29" t="s">
        <v>8</v>
      </c>
      <c r="F37" s="37"/>
      <c r="G37" s="37"/>
      <c r="H37" s="37"/>
      <c r="I37" s="37"/>
      <c r="J37" s="37"/>
    </row>
    <row r="38" spans="1:10" ht="21" customHeight="1" x14ac:dyDescent="0.45">
      <c r="A38" s="4" t="s">
        <v>1468</v>
      </c>
      <c r="B38" s="4" t="s">
        <v>1481</v>
      </c>
      <c r="C38" s="29" t="s">
        <v>1485</v>
      </c>
      <c r="D38" s="29" t="s">
        <v>1436</v>
      </c>
      <c r="E38" s="29" t="s">
        <v>8</v>
      </c>
      <c r="F38" s="37"/>
      <c r="G38" s="37"/>
      <c r="H38" s="37"/>
      <c r="I38" s="37"/>
      <c r="J38" s="37"/>
    </row>
    <row r="39" spans="1:10" ht="21" customHeight="1" x14ac:dyDescent="0.45">
      <c r="A39" t="s">
        <v>1469</v>
      </c>
      <c r="B39" t="s">
        <v>1482</v>
      </c>
      <c r="C39" s="29" t="s">
        <v>1486</v>
      </c>
      <c r="D39" s="29" t="s">
        <v>1432</v>
      </c>
      <c r="E39" s="29" t="s">
        <v>8</v>
      </c>
      <c r="F39" s="37"/>
      <c r="G39" s="37"/>
      <c r="H39" s="37"/>
      <c r="I39" s="37"/>
      <c r="J39" s="37"/>
    </row>
    <row r="40" spans="1:10" ht="21" customHeight="1" x14ac:dyDescent="0.45">
      <c r="A40" s="3" t="s">
        <v>1470</v>
      </c>
      <c r="B40" s="3"/>
      <c r="C40" s="29" t="s">
        <v>1484</v>
      </c>
      <c r="D40" s="29" t="s">
        <v>1431</v>
      </c>
      <c r="E40" s="29" t="s">
        <v>8</v>
      </c>
      <c r="F40" s="37"/>
      <c r="G40" s="37"/>
      <c r="H40" s="37"/>
      <c r="I40" s="37"/>
      <c r="J40" s="37"/>
    </row>
    <row r="46" spans="1:10" ht="14.25" customHeight="1" x14ac:dyDescent="0.45">
      <c r="D46" s="1"/>
    </row>
  </sheetData>
  <pageMargins left="0.7" right="0.7" top="0.78749999999999998" bottom="0.78749999999999998" header="0.511811023622047" footer="0.511811023622047"/>
  <pageSetup paperSize="9" orientation="portrait" horizontalDpi="300" verticalDpi="300"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22</vt:i4>
      </vt:variant>
    </vt:vector>
  </HeadingPairs>
  <TitlesOfParts>
    <vt:vector size="22" baseType="lpstr">
      <vt:lpstr>Participants-Background</vt:lpstr>
      <vt:lpstr>Biology-Background</vt:lpstr>
      <vt:lpstr>Biology-Comments</vt:lpstr>
      <vt:lpstr>K-Preferred</vt:lpstr>
      <vt:lpstr>V-Preferred</vt:lpstr>
      <vt:lpstr>No-Preference</vt:lpstr>
      <vt:lpstr>K-Application</vt:lpstr>
      <vt:lpstr>V-Application</vt:lpstr>
      <vt:lpstr>K-Enhancements</vt:lpstr>
      <vt:lpstr>V-Enhancements</vt:lpstr>
      <vt:lpstr>LLM-Tasks</vt:lpstr>
      <vt:lpstr>LLM-Content</vt:lpstr>
      <vt:lpstr>LLM-Attitude</vt:lpstr>
      <vt:lpstr>Final-Comments</vt:lpstr>
      <vt:lpstr>EE-graph</vt:lpstr>
      <vt:lpstr>EW-graph</vt:lpstr>
      <vt:lpstr>GE-graph</vt:lpstr>
      <vt:lpstr>GW-graph</vt:lpstr>
      <vt:lpstr>EE-ret</vt:lpstr>
      <vt:lpstr>EW-ret</vt:lpstr>
      <vt:lpstr>GE-ret</vt:lpstr>
      <vt:lpstr>GW-ret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El-Sherbiny, Sarah</dc:creator>
  <dc:description/>
  <cp:lastModifiedBy>El-Sherbiny, Sarah</cp:lastModifiedBy>
  <cp:revision>4</cp:revision>
  <cp:lastPrinted>2025-09-02T13:44:49Z</cp:lastPrinted>
  <dcterms:created xsi:type="dcterms:W3CDTF">2025-07-26T19:08:39Z</dcterms:created>
  <dcterms:modified xsi:type="dcterms:W3CDTF">2025-12-01T09:37:31Z</dcterms:modified>
  <dc:language>de-AT</dc:language>
</cp:coreProperties>
</file>