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e\Documents\Repos\KT-Study-Questionnaires\second-revision\appendix\3_user-study\"/>
    </mc:Choice>
  </mc:AlternateContent>
  <xr:revisionPtr revIDLastSave="0" documentId="13_ncr:1_{4FE73AB4-2532-4482-99FB-EE45C2A13B5E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Knowled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45" i="1" l="1"/>
  <c r="AO45" i="1"/>
  <c r="AP44" i="1"/>
  <c r="AO44" i="1"/>
  <c r="AL45" i="1"/>
  <c r="AK45" i="1"/>
  <c r="AL44" i="1"/>
  <c r="AK44" i="1"/>
  <c r="AG45" i="1"/>
  <c r="AG44" i="1"/>
  <c r="AD45" i="1"/>
  <c r="AC45" i="1"/>
  <c r="AD44" i="1"/>
  <c r="AC44" i="1"/>
  <c r="Z45" i="1"/>
  <c r="Y45" i="1"/>
  <c r="Z44" i="1"/>
  <c r="Y44" i="1"/>
  <c r="V45" i="1"/>
  <c r="U45" i="1"/>
  <c r="V44" i="1"/>
  <c r="U44" i="1"/>
  <c r="R45" i="1"/>
  <c r="Q45" i="1"/>
  <c r="R44" i="1"/>
  <c r="Q44" i="1"/>
  <c r="N45" i="1"/>
  <c r="M45" i="1"/>
  <c r="N44" i="1"/>
  <c r="M44" i="1"/>
  <c r="AQ42" i="1"/>
  <c r="AQ41" i="1"/>
  <c r="AQ40" i="1"/>
  <c r="AQ39" i="1"/>
  <c r="AQ38" i="1"/>
  <c r="AQ37" i="1"/>
  <c r="AQ36" i="1"/>
  <c r="AQ35" i="1"/>
  <c r="AQ34" i="1"/>
  <c r="AQ33" i="1"/>
  <c r="AQ32" i="1"/>
  <c r="AQ31" i="1"/>
  <c r="AQ30" i="1"/>
  <c r="AQ29" i="1"/>
  <c r="AQ28" i="1"/>
  <c r="AQ27" i="1"/>
  <c r="AQ26" i="1"/>
  <c r="AQ25" i="1"/>
  <c r="AQ24" i="1"/>
  <c r="AQ23" i="1"/>
  <c r="AQ22" i="1"/>
  <c r="AQ21" i="1"/>
  <c r="AQ20" i="1"/>
  <c r="AQ19" i="1"/>
  <c r="AQ18" i="1"/>
  <c r="AQ17" i="1"/>
  <c r="AQ16" i="1"/>
  <c r="AQ15" i="1"/>
  <c r="AQ14" i="1"/>
  <c r="AQ13" i="1"/>
  <c r="AQ12" i="1"/>
  <c r="AQ11" i="1"/>
  <c r="AQ10" i="1"/>
  <c r="AQ9" i="1"/>
  <c r="AQ8" i="1"/>
  <c r="AQ7" i="1"/>
  <c r="AQ6" i="1"/>
  <c r="AQ5" i="1"/>
  <c r="AQ4" i="1"/>
  <c r="AQ3" i="1"/>
  <c r="AM42" i="1"/>
  <c r="AM41" i="1"/>
  <c r="AM40" i="1"/>
  <c r="AM39" i="1"/>
  <c r="AM38" i="1"/>
  <c r="AM37" i="1"/>
  <c r="AM36" i="1"/>
  <c r="AM35" i="1"/>
  <c r="AM34" i="1"/>
  <c r="AM33" i="1"/>
  <c r="AM32" i="1"/>
  <c r="AM31" i="1"/>
  <c r="AM30" i="1"/>
  <c r="AM29" i="1"/>
  <c r="AM28" i="1"/>
  <c r="AM27" i="1"/>
  <c r="AM26" i="1"/>
  <c r="AM25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M10" i="1"/>
  <c r="AM9" i="1"/>
  <c r="AM8" i="1"/>
  <c r="AM7" i="1"/>
  <c r="AM6" i="1"/>
  <c r="AM5" i="1"/>
  <c r="AM4" i="1"/>
  <c r="AM3" i="1"/>
  <c r="AI41" i="1"/>
  <c r="AI40" i="1"/>
  <c r="AI39" i="1"/>
  <c r="AI38" i="1"/>
  <c r="AI37" i="1"/>
  <c r="AI36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I7" i="1"/>
  <c r="AI6" i="1"/>
  <c r="AI5" i="1"/>
  <c r="AI4" i="1"/>
  <c r="AI3" i="1"/>
  <c r="AE42" i="1"/>
  <c r="AE41" i="1"/>
  <c r="AE40" i="1"/>
  <c r="AE39" i="1"/>
  <c r="AE38" i="1"/>
  <c r="AE37" i="1"/>
  <c r="AE36" i="1"/>
  <c r="AE35" i="1"/>
  <c r="AE34" i="1"/>
  <c r="AE33" i="1"/>
  <c r="AE32" i="1"/>
  <c r="AE31" i="1"/>
  <c r="AE30" i="1"/>
  <c r="AE29" i="1"/>
  <c r="AE28" i="1"/>
  <c r="AE27" i="1"/>
  <c r="AE26" i="1"/>
  <c r="AE25" i="1"/>
  <c r="AE24" i="1"/>
  <c r="AE23" i="1"/>
  <c r="AE22" i="1"/>
  <c r="AE21" i="1"/>
  <c r="AE20" i="1"/>
  <c r="AE19" i="1"/>
  <c r="AE18" i="1"/>
  <c r="AE17" i="1"/>
  <c r="AE16" i="1"/>
  <c r="AE15" i="1"/>
  <c r="AE14" i="1"/>
  <c r="AE13" i="1"/>
  <c r="AE12" i="1"/>
  <c r="AE11" i="1"/>
  <c r="AE10" i="1"/>
  <c r="AE9" i="1"/>
  <c r="AE8" i="1"/>
  <c r="AE7" i="1"/>
  <c r="AE6" i="1"/>
  <c r="AE5" i="1"/>
  <c r="AE4" i="1"/>
  <c r="AE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5" i="1"/>
  <c r="AA4" i="1"/>
  <c r="AA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3" i="1"/>
  <c r="AH42" i="1"/>
  <c r="AI42" i="1" s="1"/>
  <c r="AH45" i="1" l="1"/>
  <c r="AH44" i="1"/>
  <c r="AA45" i="1"/>
  <c r="S45" i="1"/>
  <c r="O44" i="1"/>
  <c r="W44" i="1"/>
  <c r="AM45" i="1"/>
  <c r="AQ44" i="1"/>
  <c r="AE45" i="1"/>
  <c r="AI45" i="1"/>
  <c r="AQ45" i="1"/>
  <c r="W45" i="1"/>
  <c r="O45" i="1"/>
  <c r="AM44" i="1"/>
  <c r="AI44" i="1"/>
  <c r="AE44" i="1"/>
  <c r="AA44" i="1"/>
  <c r="S44" i="1"/>
</calcChain>
</file>

<file path=xl/sharedStrings.xml><?xml version="1.0" encoding="utf-8"?>
<sst xmlns="http://schemas.openxmlformats.org/spreadsheetml/2006/main" count="101" uniqueCount="44">
  <si>
    <t>Engagement</t>
  </si>
  <si>
    <t>Task Load</t>
  </si>
  <si>
    <t>K … KnowTI</t>
  </si>
  <si>
    <t>V … Video only</t>
  </si>
  <si>
    <t>K</t>
  </si>
  <si>
    <t>V</t>
  </si>
  <si>
    <t>t-value</t>
  </si>
  <si>
    <t>p-value</t>
  </si>
  <si>
    <t>Samples</t>
  </si>
  <si>
    <t>yes</t>
  </si>
  <si>
    <t>no</t>
  </si>
  <si>
    <t>Variable</t>
  </si>
  <si>
    <t>Knowledge [Post-Pre] (Weighted)</t>
  </si>
  <si>
    <t>Knowledge [Ret-Post] (Weighted)</t>
  </si>
  <si>
    <t>Knowledge [Ret-Pre] (Weighted)</t>
  </si>
  <si>
    <t>z-score</t>
  </si>
  <si>
    <t>Confidence [Post-Pre]</t>
  </si>
  <si>
    <t>Confidence [Ret-Post]</t>
  </si>
  <si>
    <t>Confidence [Ret-Pre]</t>
  </si>
  <si>
    <t>Paired T-Test for normally distributed variables</t>
  </si>
  <si>
    <t>Paired Wilcoxon Signed-Rank test for not normally distributed variables</t>
  </si>
  <si>
    <t>w-value</t>
  </si>
  <si>
    <t>Diff</t>
  </si>
  <si>
    <t>Standard deviation</t>
  </si>
  <si>
    <t>Mean value</t>
  </si>
  <si>
    <t>0.4694</t>
  </si>
  <si>
    <t>CI</t>
  </si>
  <si>
    <t>-0.2341</t>
  </si>
  <si>
    <t>[-0.6739, 0.2057]</t>
  </si>
  <si>
    <t>0.2995</t>
  </si>
  <si>
    <t>[-0.1412, 0.7403]</t>
  </si>
  <si>
    <t>0.4518</t>
  </si>
  <si>
    <t>[0.0078, 0.8957]</t>
  </si>
  <si>
    <t>-0.0257</t>
  </si>
  <si>
    <t>Paired rank-biserial r</t>
  </si>
  <si>
    <t>Sample 1</t>
  </si>
  <si>
    <t>Sample 2</t>
  </si>
  <si>
    <t>Significant (p &lt; 0.05)</t>
  </si>
  <si>
    <t>[-0.2882, 0.4000]</t>
  </si>
  <si>
    <t>[-0.2710, 0.4232]</t>
  </si>
  <si>
    <t>[0.0250, 0.9138]</t>
  </si>
  <si>
    <t>[-0.4640, 0.4126]</t>
  </si>
  <si>
    <t>[-0.2131, 0.4651]</t>
  </si>
  <si>
    <t>Cohen's dz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</si>
</sst>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20"/>
      <color theme="0"/>
      <name val="Aptos Narrow"/>
      <family val="2"/>
    </font>
    <font>
      <b/>
      <sz val="14"/>
      <name val="Aptos Narrow"/>
      <family val="2"/>
    </font>
    <font>
      <sz val="14"/>
      <name val="Aptos Narrow"/>
      <family val="2"/>
    </font>
    <font>
      <b/>
      <sz val="16"/>
      <name val="Aptos Narrow"/>
      <family val="2"/>
    </font>
    <font>
      <b/>
      <sz val="11"/>
      <color theme="5"/>
      <name val="Calibri"/>
      <family val="2"/>
      <scheme val="minor"/>
    </font>
    <font>
      <sz val="14"/>
      <color theme="1"/>
      <name val="Aptos Narrow"/>
      <family val="2"/>
    </font>
    <font>
      <b/>
      <sz val="14"/>
      <color rgb="FFC00000"/>
      <name val="Aptos Narrow"/>
      <family val="2"/>
    </font>
    <font>
      <sz val="14"/>
      <color theme="0"/>
      <name val="Aptos Narrow"/>
      <family val="2"/>
    </font>
    <font>
      <b/>
      <sz val="16"/>
      <color theme="0"/>
      <name val="Aptos Narrow"/>
      <family val="2"/>
    </font>
    <font>
      <b/>
      <sz val="14"/>
      <color theme="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B3CDE3"/>
        <bgColor indexed="64"/>
      </patternFill>
    </fill>
    <fill>
      <patternFill patternType="solid">
        <fgColor rgb="FF78A7CE"/>
        <bgColor indexed="64"/>
      </patternFill>
    </fill>
    <fill>
      <patternFill patternType="solid">
        <fgColor rgb="FF3F7AAB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586D8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3" borderId="0" xfId="0" applyFont="1" applyFill="1"/>
    <xf numFmtId="0" fontId="3" fillId="2" borderId="0" xfId="0" applyFont="1" applyFill="1"/>
    <xf numFmtId="0" fontId="1" fillId="4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/>
    </xf>
    <xf numFmtId="0" fontId="4" fillId="3" borderId="0" xfId="0" applyFont="1" applyFill="1"/>
    <xf numFmtId="0" fontId="3" fillId="0" borderId="0" xfId="0" applyFont="1"/>
    <xf numFmtId="0" fontId="2" fillId="0" borderId="0" xfId="0" applyFont="1"/>
    <xf numFmtId="0" fontId="5" fillId="0" borderId="0" xfId="0" applyFont="1" applyAlignment="1">
      <alignment horizontal="right"/>
    </xf>
    <xf numFmtId="0" fontId="6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7" fillId="2" borderId="0" xfId="0" applyFont="1" applyFill="1" applyAlignment="1">
      <alignment horizontal="left"/>
    </xf>
    <xf numFmtId="0" fontId="3" fillId="2" borderId="0" xfId="0" applyFont="1" applyFill="1" applyAlignment="1">
      <alignment horizontal="right" indent="1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9" fillId="6" borderId="0" xfId="0" applyFont="1" applyFill="1"/>
    <xf numFmtId="0" fontId="10" fillId="6" borderId="0" xfId="0" applyFont="1" applyFill="1" applyAlignment="1">
      <alignment horizontal="center"/>
    </xf>
    <xf numFmtId="0" fontId="8" fillId="6" borderId="0" xfId="0" applyFont="1" applyFill="1" applyAlignment="1">
      <alignment horizontal="left"/>
    </xf>
    <xf numFmtId="0" fontId="8" fillId="6" borderId="0" xfId="0" applyFont="1" applyFill="1" applyAlignment="1">
      <alignment horizontal="center"/>
    </xf>
    <xf numFmtId="0" fontId="4" fillId="3" borderId="0" xfId="0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4" fillId="3" borderId="0" xfId="0" applyFont="1" applyFill="1" applyAlignment="1">
      <alignment horizontal="center"/>
    </xf>
    <xf numFmtId="0" fontId="4" fillId="3" borderId="0" xfId="0" applyFont="1" applyFill="1" applyAlignment="1">
      <alignment horizontal="left"/>
    </xf>
    <xf numFmtId="0" fontId="3" fillId="2" borderId="0" xfId="0" applyFont="1" applyFill="1" applyAlignment="1">
      <alignment horizontal="left" indent="1"/>
    </xf>
    <xf numFmtId="0" fontId="3" fillId="2" borderId="0" xfId="0" applyFont="1" applyFill="1" applyAlignment="1">
      <alignment horizontal="left" vertical="center" inden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586D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5"/>
  <sheetViews>
    <sheetView tabSelected="1" workbookViewId="0">
      <selection activeCell="D14" sqref="D14"/>
    </sheetView>
  </sheetViews>
  <sheetFormatPr baseColWidth="10" defaultColWidth="9.06640625" defaultRowHeight="14.25" x14ac:dyDescent="0.45"/>
  <cols>
    <col min="1" max="1" width="24" customWidth="1"/>
    <col min="2" max="2" width="13.53125" customWidth="1"/>
    <col min="3" max="3" width="15.796875" customWidth="1"/>
    <col min="4" max="4" width="12.9296875" customWidth="1"/>
    <col min="5" max="5" width="17" customWidth="1"/>
    <col min="6" max="8" width="13.796875" customWidth="1"/>
    <col min="9" max="9" width="24.796875" customWidth="1"/>
    <col min="10" max="10" width="5.46484375" customWidth="1"/>
    <col min="11" max="11" width="21.19921875" customWidth="1"/>
    <col min="12" max="12" width="10.265625" customWidth="1"/>
    <col min="16" max="16" width="9.796875" customWidth="1"/>
  </cols>
  <sheetData>
    <row r="1" spans="1:43" ht="26.65" x14ac:dyDescent="0.85">
      <c r="A1" s="3" t="s">
        <v>19</v>
      </c>
      <c r="B1" s="3"/>
      <c r="C1" s="3"/>
      <c r="D1" s="3"/>
      <c r="E1" s="3"/>
      <c r="F1" s="3"/>
      <c r="G1" s="3"/>
      <c r="H1" s="3"/>
      <c r="I1" s="3"/>
      <c r="K1" s="1" t="s">
        <v>8</v>
      </c>
      <c r="M1" s="7" t="s">
        <v>12</v>
      </c>
      <c r="N1" s="7"/>
      <c r="O1" s="20" t="s">
        <v>22</v>
      </c>
      <c r="P1" s="9"/>
      <c r="Q1" s="7" t="s">
        <v>13</v>
      </c>
      <c r="R1" s="7"/>
      <c r="S1" s="20" t="s">
        <v>22</v>
      </c>
      <c r="U1" s="7" t="s">
        <v>14</v>
      </c>
      <c r="V1" s="7"/>
      <c r="W1" s="20" t="s">
        <v>22</v>
      </c>
      <c r="Y1" s="7" t="s">
        <v>0</v>
      </c>
      <c r="Z1" s="7"/>
      <c r="AA1" s="20" t="s">
        <v>22</v>
      </c>
      <c r="AC1" s="7" t="s">
        <v>1</v>
      </c>
      <c r="AD1" s="7"/>
      <c r="AE1" s="20" t="s">
        <v>22</v>
      </c>
      <c r="AG1" s="7" t="s">
        <v>16</v>
      </c>
      <c r="AH1" s="7"/>
      <c r="AI1" s="20" t="s">
        <v>22</v>
      </c>
      <c r="AK1" s="7" t="s">
        <v>17</v>
      </c>
      <c r="AL1" s="7"/>
      <c r="AM1" s="20" t="s">
        <v>22</v>
      </c>
      <c r="AO1" s="7" t="s">
        <v>18</v>
      </c>
      <c r="AP1" s="7"/>
      <c r="AQ1" s="20" t="s">
        <v>22</v>
      </c>
    </row>
    <row r="2" spans="1:43" ht="21" x14ac:dyDescent="0.65">
      <c r="A2" s="7" t="s">
        <v>11</v>
      </c>
      <c r="B2" s="7" t="s">
        <v>35</v>
      </c>
      <c r="C2" s="7" t="s">
        <v>36</v>
      </c>
      <c r="D2" s="24"/>
      <c r="E2" s="27" t="s">
        <v>6</v>
      </c>
      <c r="F2" s="27" t="s">
        <v>7</v>
      </c>
      <c r="G2" s="27" t="s">
        <v>37</v>
      </c>
      <c r="H2" s="24" t="s">
        <v>43</v>
      </c>
      <c r="I2" s="26" t="s">
        <v>26</v>
      </c>
      <c r="K2" s="2" t="s">
        <v>2</v>
      </c>
      <c r="M2" s="12" t="s">
        <v>4</v>
      </c>
      <c r="N2" s="12" t="s">
        <v>5</v>
      </c>
      <c r="O2" s="21"/>
      <c r="Q2" s="12" t="s">
        <v>4</v>
      </c>
      <c r="R2" s="12" t="s">
        <v>5</v>
      </c>
      <c r="S2" s="21"/>
      <c r="U2" s="12" t="s">
        <v>4</v>
      </c>
      <c r="V2" s="12" t="s">
        <v>5</v>
      </c>
      <c r="W2" s="21"/>
      <c r="Y2" s="12" t="s">
        <v>4</v>
      </c>
      <c r="Z2" s="12" t="s">
        <v>5</v>
      </c>
      <c r="AA2" s="21"/>
      <c r="AC2" s="12" t="s">
        <v>4</v>
      </c>
      <c r="AD2" s="12" t="s">
        <v>5</v>
      </c>
      <c r="AE2" s="21"/>
      <c r="AG2" s="12" t="s">
        <v>4</v>
      </c>
      <c r="AH2" s="12" t="s">
        <v>5</v>
      </c>
      <c r="AI2" s="21"/>
      <c r="AK2" s="12" t="s">
        <v>4</v>
      </c>
      <c r="AL2" s="12" t="s">
        <v>5</v>
      </c>
      <c r="AM2" s="21"/>
      <c r="AO2" s="12" t="s">
        <v>4</v>
      </c>
      <c r="AP2" s="12" t="s">
        <v>5</v>
      </c>
      <c r="AQ2" s="21"/>
    </row>
    <row r="3" spans="1:43" ht="18" x14ac:dyDescent="0.55000000000000004">
      <c r="A3" s="2" t="s">
        <v>12</v>
      </c>
      <c r="B3" s="17" t="s">
        <v>4</v>
      </c>
      <c r="C3" s="17" t="s">
        <v>5</v>
      </c>
      <c r="D3" s="16"/>
      <c r="E3" s="4">
        <v>2.0293000000000001</v>
      </c>
      <c r="F3" s="29">
        <v>2.5000000000000001E-2</v>
      </c>
      <c r="G3" s="15" t="s">
        <v>9</v>
      </c>
      <c r="H3" s="28" t="s">
        <v>25</v>
      </c>
      <c r="I3" s="16" t="s">
        <v>40</v>
      </c>
      <c r="K3" s="2" t="s">
        <v>3</v>
      </c>
      <c r="M3" s="11">
        <v>50</v>
      </c>
      <c r="N3" s="11">
        <v>40</v>
      </c>
      <c r="O3" s="19">
        <f>M3-N3</f>
        <v>10</v>
      </c>
      <c r="P3" s="9"/>
      <c r="Q3" s="11">
        <v>25</v>
      </c>
      <c r="R3" s="11">
        <v>-5</v>
      </c>
      <c r="S3" s="19">
        <f>Q3-R3</f>
        <v>30</v>
      </c>
      <c r="U3" s="11">
        <v>75</v>
      </c>
      <c r="V3" s="11">
        <v>35</v>
      </c>
      <c r="W3" s="19">
        <f>U3-V3</f>
        <v>40</v>
      </c>
      <c r="Y3" s="11">
        <v>88.7</v>
      </c>
      <c r="Z3" s="11">
        <v>77.400000000000006</v>
      </c>
      <c r="AA3" s="19">
        <f>Y3-Z3</f>
        <v>11.299999999999997</v>
      </c>
      <c r="AC3" s="11">
        <v>43.67</v>
      </c>
      <c r="AD3" s="11">
        <v>36</v>
      </c>
      <c r="AE3" s="19">
        <f>AC3-AD3</f>
        <v>7.6700000000000017</v>
      </c>
      <c r="AG3" s="11">
        <v>60</v>
      </c>
      <c r="AH3" s="11">
        <v>26.25</v>
      </c>
      <c r="AI3" s="19">
        <f>AG3-AH3</f>
        <v>33.75</v>
      </c>
      <c r="AK3" s="11">
        <v>-2.5</v>
      </c>
      <c r="AL3" s="11">
        <v>-15</v>
      </c>
      <c r="AM3" s="19">
        <f>AK3-AL3</f>
        <v>12.5</v>
      </c>
      <c r="AO3" s="11">
        <v>57.5</v>
      </c>
      <c r="AP3" s="11">
        <v>11.25</v>
      </c>
      <c r="AQ3" s="19">
        <f>AO3-AP3</f>
        <v>46.25</v>
      </c>
    </row>
    <row r="4" spans="1:43" ht="18" x14ac:dyDescent="0.55000000000000004">
      <c r="A4" s="2" t="s">
        <v>13</v>
      </c>
      <c r="B4" s="17" t="s">
        <v>4</v>
      </c>
      <c r="C4" s="17" t="s">
        <v>5</v>
      </c>
      <c r="D4" s="16"/>
      <c r="E4" s="4">
        <v>-1.1637999999999999</v>
      </c>
      <c r="F4" s="29">
        <v>0.126</v>
      </c>
      <c r="G4" s="6" t="s">
        <v>10</v>
      </c>
      <c r="H4" s="28" t="s">
        <v>27</v>
      </c>
      <c r="I4" s="16" t="s">
        <v>28</v>
      </c>
      <c r="M4" s="11">
        <v>55</v>
      </c>
      <c r="N4" s="11">
        <v>27.5</v>
      </c>
      <c r="O4" s="19">
        <f t="shared" ref="O4:O42" si="0">M4-N4</f>
        <v>27.5</v>
      </c>
      <c r="P4" s="10"/>
      <c r="Q4" s="11">
        <v>-17.5</v>
      </c>
      <c r="R4" s="11">
        <v>0</v>
      </c>
      <c r="S4" s="19">
        <f t="shared" ref="S4:S42" si="1">Q4-R4</f>
        <v>-17.5</v>
      </c>
      <c r="U4" s="11">
        <v>37.5</v>
      </c>
      <c r="V4" s="11">
        <v>27.5</v>
      </c>
      <c r="W4" s="19">
        <f t="shared" ref="W4:W42" si="2">U4-V4</f>
        <v>10</v>
      </c>
      <c r="Y4" s="11">
        <v>63.9</v>
      </c>
      <c r="Z4" s="11">
        <v>73.7</v>
      </c>
      <c r="AA4" s="19">
        <f t="shared" ref="AA4:AA42" si="3">Y4-Z4</f>
        <v>-9.8000000000000043</v>
      </c>
      <c r="AC4" s="11">
        <v>31.67</v>
      </c>
      <c r="AD4" s="11">
        <v>39</v>
      </c>
      <c r="AE4" s="19">
        <f t="shared" ref="AE4:AE42" si="4">AC4-AD4</f>
        <v>-7.3299999999999983</v>
      </c>
      <c r="AG4" s="11">
        <v>57.499999999999993</v>
      </c>
      <c r="AH4" s="11">
        <v>15</v>
      </c>
      <c r="AI4" s="19">
        <f t="shared" ref="AI4:AI42" si="5">AG4-AH4</f>
        <v>42.499999999999993</v>
      </c>
      <c r="AK4" s="11">
        <v>-28.749999999999996</v>
      </c>
      <c r="AL4" s="11">
        <v>2.5</v>
      </c>
      <c r="AM4" s="19">
        <f t="shared" ref="AM4:AM42" si="6">AK4-AL4</f>
        <v>-31.249999999999996</v>
      </c>
      <c r="AO4" s="11">
        <v>28.749999999999996</v>
      </c>
      <c r="AP4" s="11">
        <v>17.5</v>
      </c>
      <c r="AQ4" s="19">
        <f t="shared" ref="AQ4:AQ42" si="7">AO4-AP4</f>
        <v>11.249999999999996</v>
      </c>
    </row>
    <row r="5" spans="1:43" ht="18" x14ac:dyDescent="0.55000000000000004">
      <c r="A5" s="2" t="s">
        <v>14</v>
      </c>
      <c r="B5" s="17" t="s">
        <v>4</v>
      </c>
      <c r="C5" s="17" t="s">
        <v>5</v>
      </c>
      <c r="D5" s="16"/>
      <c r="E5" s="4">
        <v>1.5317000000000001</v>
      </c>
      <c r="F5" s="29">
        <v>6.7000000000000004E-2</v>
      </c>
      <c r="G5" s="6" t="s">
        <v>10</v>
      </c>
      <c r="H5" s="28" t="s">
        <v>29</v>
      </c>
      <c r="I5" s="16" t="s">
        <v>30</v>
      </c>
      <c r="J5" s="8"/>
      <c r="M5" s="11">
        <v>50</v>
      </c>
      <c r="N5" s="11">
        <v>40</v>
      </c>
      <c r="O5" s="19">
        <f t="shared" si="0"/>
        <v>10</v>
      </c>
      <c r="P5" s="10"/>
      <c r="Q5" s="11">
        <v>-12.5</v>
      </c>
      <c r="R5" s="11">
        <v>-12.5</v>
      </c>
      <c r="S5" s="19">
        <f t="shared" si="1"/>
        <v>0</v>
      </c>
      <c r="U5" s="11">
        <v>37.5</v>
      </c>
      <c r="V5" s="11">
        <v>27.5</v>
      </c>
      <c r="W5" s="19">
        <f t="shared" si="2"/>
        <v>10</v>
      </c>
      <c r="Y5" s="11">
        <v>75.900000000000006</v>
      </c>
      <c r="Z5" s="11">
        <v>61.7</v>
      </c>
      <c r="AA5" s="19">
        <f t="shared" si="3"/>
        <v>14.200000000000003</v>
      </c>
      <c r="AC5" s="11">
        <v>33.67</v>
      </c>
      <c r="AD5" s="11">
        <v>51.67</v>
      </c>
      <c r="AE5" s="19">
        <f t="shared" si="4"/>
        <v>-18</v>
      </c>
      <c r="AG5" s="11">
        <v>13.749999999999993</v>
      </c>
      <c r="AH5" s="11">
        <v>33.75</v>
      </c>
      <c r="AI5" s="19">
        <f t="shared" si="5"/>
        <v>-20.000000000000007</v>
      </c>
      <c r="AK5" s="11">
        <v>-7.4999999999999929</v>
      </c>
      <c r="AL5" s="11">
        <v>-5</v>
      </c>
      <c r="AM5" s="19">
        <f t="shared" si="6"/>
        <v>-2.4999999999999929</v>
      </c>
      <c r="AO5" s="11">
        <v>6.25</v>
      </c>
      <c r="AP5" s="11">
        <v>28.75</v>
      </c>
      <c r="AQ5" s="19">
        <f t="shared" si="7"/>
        <v>-22.5</v>
      </c>
    </row>
    <row r="6" spans="1:43" ht="18" x14ac:dyDescent="0.55000000000000004">
      <c r="A6" s="2" t="s">
        <v>0</v>
      </c>
      <c r="B6" s="17" t="s">
        <v>4</v>
      </c>
      <c r="C6" s="17" t="s">
        <v>5</v>
      </c>
      <c r="D6" s="16"/>
      <c r="E6" s="4">
        <v>2.2544</v>
      </c>
      <c r="F6" s="29">
        <v>1.4999999999999999E-2</v>
      </c>
      <c r="G6" s="15" t="s">
        <v>9</v>
      </c>
      <c r="H6" s="28" t="s">
        <v>31</v>
      </c>
      <c r="I6" s="16" t="s">
        <v>32</v>
      </c>
      <c r="J6" s="8"/>
      <c r="M6" s="11">
        <v>55</v>
      </c>
      <c r="N6" s="11">
        <v>35</v>
      </c>
      <c r="O6" s="19">
        <f t="shared" si="0"/>
        <v>20</v>
      </c>
      <c r="P6" s="10"/>
      <c r="Q6" s="11">
        <v>-2.5</v>
      </c>
      <c r="R6" s="11">
        <v>17.5</v>
      </c>
      <c r="S6" s="19">
        <f t="shared" si="1"/>
        <v>-20</v>
      </c>
      <c r="U6" s="11">
        <v>52.5</v>
      </c>
      <c r="V6" s="11">
        <v>52.5</v>
      </c>
      <c r="W6" s="19">
        <f t="shared" si="2"/>
        <v>0</v>
      </c>
      <c r="Y6" s="11">
        <v>78.2</v>
      </c>
      <c r="Z6" s="11">
        <v>51.9</v>
      </c>
      <c r="AA6" s="19">
        <f t="shared" si="3"/>
        <v>26.300000000000004</v>
      </c>
      <c r="AC6" s="11">
        <v>28.67</v>
      </c>
      <c r="AD6" s="11">
        <v>76.33</v>
      </c>
      <c r="AE6" s="19">
        <f t="shared" si="4"/>
        <v>-47.66</v>
      </c>
      <c r="AG6" s="11">
        <v>31.25</v>
      </c>
      <c r="AH6" s="11">
        <v>60</v>
      </c>
      <c r="AI6" s="19">
        <f t="shared" si="5"/>
        <v>-28.75</v>
      </c>
      <c r="AK6" s="11">
        <v>2.5</v>
      </c>
      <c r="AL6" s="11">
        <v>-11.25</v>
      </c>
      <c r="AM6" s="19">
        <f t="shared" si="6"/>
        <v>13.75</v>
      </c>
      <c r="AO6" s="11">
        <v>33.75</v>
      </c>
      <c r="AP6" s="11">
        <v>48.75</v>
      </c>
      <c r="AQ6" s="19">
        <f t="shared" si="7"/>
        <v>-15</v>
      </c>
    </row>
    <row r="7" spans="1:43" ht="18" x14ac:dyDescent="0.55000000000000004">
      <c r="A7" s="2" t="s">
        <v>1</v>
      </c>
      <c r="B7" s="17" t="s">
        <v>4</v>
      </c>
      <c r="C7" s="17" t="s">
        <v>5</v>
      </c>
      <c r="D7" s="16"/>
      <c r="E7" s="4">
        <v>-0.12640000000000001</v>
      </c>
      <c r="F7" s="28">
        <v>0.45</v>
      </c>
      <c r="G7" s="6" t="s">
        <v>10</v>
      </c>
      <c r="H7" s="28" t="s">
        <v>33</v>
      </c>
      <c r="I7" s="16" t="s">
        <v>41</v>
      </c>
      <c r="M7" s="11">
        <v>30</v>
      </c>
      <c r="N7" s="11">
        <v>50</v>
      </c>
      <c r="O7" s="19">
        <f t="shared" si="0"/>
        <v>-20</v>
      </c>
      <c r="P7" s="10"/>
      <c r="Q7" s="11">
        <v>-20</v>
      </c>
      <c r="R7" s="11">
        <v>-15</v>
      </c>
      <c r="S7" s="19">
        <f t="shared" si="1"/>
        <v>-5</v>
      </c>
      <c r="U7" s="11">
        <v>10</v>
      </c>
      <c r="V7" s="11">
        <v>35</v>
      </c>
      <c r="W7" s="19">
        <f t="shared" si="2"/>
        <v>-25</v>
      </c>
      <c r="Y7" s="11">
        <v>81.2</v>
      </c>
      <c r="Z7" s="11">
        <v>42.9</v>
      </c>
      <c r="AA7" s="19">
        <f t="shared" si="3"/>
        <v>38.300000000000004</v>
      </c>
      <c r="AC7" s="11">
        <v>72</v>
      </c>
      <c r="AD7" s="11">
        <v>74.67</v>
      </c>
      <c r="AE7" s="19">
        <f t="shared" si="4"/>
        <v>-2.6700000000000017</v>
      </c>
      <c r="AG7" s="11">
        <v>11.250000000000004</v>
      </c>
      <c r="AH7" s="11">
        <v>33.75</v>
      </c>
      <c r="AI7" s="19">
        <f t="shared" si="5"/>
        <v>-22.499999999999996</v>
      </c>
      <c r="AK7" s="11">
        <v>8.75</v>
      </c>
      <c r="AL7" s="11">
        <v>-12.5</v>
      </c>
      <c r="AM7" s="19">
        <f t="shared" si="6"/>
        <v>21.25</v>
      </c>
      <c r="AO7" s="11">
        <v>20.000000000000004</v>
      </c>
      <c r="AP7" s="11">
        <v>21.25</v>
      </c>
      <c r="AQ7" s="19">
        <f t="shared" si="7"/>
        <v>-1.2499999999999964</v>
      </c>
    </row>
    <row r="8" spans="1:43" ht="18" x14ac:dyDescent="0.55000000000000004">
      <c r="A8" s="4"/>
      <c r="B8" s="4"/>
      <c r="C8" s="4"/>
      <c r="D8" s="25"/>
      <c r="E8" s="4"/>
      <c r="F8" s="25"/>
      <c r="G8" s="25"/>
      <c r="H8" s="25"/>
      <c r="I8" s="25"/>
      <c r="M8" s="11">
        <v>60</v>
      </c>
      <c r="N8" s="11">
        <v>42.5</v>
      </c>
      <c r="O8" s="19">
        <f t="shared" si="0"/>
        <v>17.5</v>
      </c>
      <c r="P8" s="10"/>
      <c r="Q8" s="11">
        <v>-2.5</v>
      </c>
      <c r="R8" s="11">
        <v>0</v>
      </c>
      <c r="S8" s="19">
        <f t="shared" si="1"/>
        <v>-2.5</v>
      </c>
      <c r="U8" s="11">
        <v>57.5</v>
      </c>
      <c r="V8" s="11">
        <v>42.5</v>
      </c>
      <c r="W8" s="19">
        <f t="shared" si="2"/>
        <v>15</v>
      </c>
      <c r="Y8" s="11">
        <v>49.6</v>
      </c>
      <c r="Z8" s="11">
        <v>56.4</v>
      </c>
      <c r="AA8" s="19">
        <f t="shared" si="3"/>
        <v>-6.7999999999999972</v>
      </c>
      <c r="AC8" s="11">
        <v>82.67</v>
      </c>
      <c r="AD8" s="11">
        <v>77</v>
      </c>
      <c r="AE8" s="19">
        <f t="shared" si="4"/>
        <v>5.6700000000000017</v>
      </c>
      <c r="AG8" s="11">
        <v>52.5</v>
      </c>
      <c r="AH8" s="11">
        <v>43.75</v>
      </c>
      <c r="AI8" s="19">
        <f t="shared" si="5"/>
        <v>8.75</v>
      </c>
      <c r="AK8" s="11">
        <v>-2.5</v>
      </c>
      <c r="AL8" s="11">
        <v>23.75</v>
      </c>
      <c r="AM8" s="19">
        <f t="shared" si="6"/>
        <v>-26.25</v>
      </c>
      <c r="AO8" s="11">
        <v>50</v>
      </c>
      <c r="AP8" s="11">
        <v>67.5</v>
      </c>
      <c r="AQ8" s="19">
        <f t="shared" si="7"/>
        <v>-17.5</v>
      </c>
    </row>
    <row r="9" spans="1:43" ht="18" x14ac:dyDescent="0.55000000000000004">
      <c r="M9" s="11">
        <v>25</v>
      </c>
      <c r="N9" s="11">
        <v>47.5</v>
      </c>
      <c r="O9" s="19">
        <f t="shared" si="0"/>
        <v>-22.5</v>
      </c>
      <c r="P9" s="10"/>
      <c r="Q9" s="11">
        <v>-25</v>
      </c>
      <c r="R9" s="11">
        <v>-22.5</v>
      </c>
      <c r="S9" s="19">
        <f t="shared" si="1"/>
        <v>-2.5</v>
      </c>
      <c r="U9" s="11">
        <v>0</v>
      </c>
      <c r="V9" s="11">
        <v>25</v>
      </c>
      <c r="W9" s="19">
        <f t="shared" si="2"/>
        <v>-25</v>
      </c>
      <c r="Y9" s="11">
        <v>36.1</v>
      </c>
      <c r="Z9" s="11">
        <v>61.7</v>
      </c>
      <c r="AA9" s="19">
        <f t="shared" si="3"/>
        <v>-25.6</v>
      </c>
      <c r="AC9" s="11">
        <v>20.67</v>
      </c>
      <c r="AD9" s="11">
        <v>81.67</v>
      </c>
      <c r="AE9" s="19">
        <f t="shared" si="4"/>
        <v>-61</v>
      </c>
      <c r="AG9" s="11">
        <v>12.5</v>
      </c>
      <c r="AH9" s="11">
        <v>53.75</v>
      </c>
      <c r="AI9" s="19">
        <f t="shared" si="5"/>
        <v>-41.25</v>
      </c>
      <c r="AK9" s="11">
        <v>-3.75</v>
      </c>
      <c r="AL9" s="11">
        <v>-18.75</v>
      </c>
      <c r="AM9" s="19">
        <f t="shared" si="6"/>
        <v>15</v>
      </c>
      <c r="AO9" s="11">
        <v>8.75</v>
      </c>
      <c r="AP9" s="11">
        <v>35</v>
      </c>
      <c r="AQ9" s="19">
        <f t="shared" si="7"/>
        <v>-26.25</v>
      </c>
    </row>
    <row r="10" spans="1:43" ht="26.65" x14ac:dyDescent="0.85">
      <c r="A10" s="3" t="s">
        <v>20</v>
      </c>
      <c r="B10" s="3"/>
      <c r="C10" s="3"/>
      <c r="D10" s="3"/>
      <c r="E10" s="3"/>
      <c r="F10" s="3"/>
      <c r="G10" s="3"/>
      <c r="H10" s="3"/>
      <c r="I10" s="3"/>
      <c r="M10" s="11">
        <v>52.5</v>
      </c>
      <c r="N10" s="11">
        <v>22.5</v>
      </c>
      <c r="O10" s="19">
        <f t="shared" si="0"/>
        <v>30</v>
      </c>
      <c r="P10" s="10"/>
      <c r="Q10" s="11">
        <v>-35</v>
      </c>
      <c r="R10" s="11">
        <v>-12.5</v>
      </c>
      <c r="S10" s="19">
        <f t="shared" si="1"/>
        <v>-22.5</v>
      </c>
      <c r="U10" s="11">
        <v>17.5</v>
      </c>
      <c r="V10" s="11">
        <v>10</v>
      </c>
      <c r="W10" s="19">
        <f t="shared" si="2"/>
        <v>7.5</v>
      </c>
      <c r="Y10" s="11">
        <v>63.2</v>
      </c>
      <c r="Z10" s="11">
        <v>72.900000000000006</v>
      </c>
      <c r="AA10" s="19">
        <f t="shared" si="3"/>
        <v>-9.7000000000000028</v>
      </c>
      <c r="AC10" s="11">
        <v>36</v>
      </c>
      <c r="AD10" s="11">
        <v>29.67</v>
      </c>
      <c r="AE10" s="19">
        <f t="shared" si="4"/>
        <v>6.3299999999999983</v>
      </c>
      <c r="AG10" s="11">
        <v>52.5</v>
      </c>
      <c r="AH10" s="11">
        <v>25</v>
      </c>
      <c r="AI10" s="19">
        <f t="shared" si="5"/>
        <v>27.5</v>
      </c>
      <c r="AK10" s="11">
        <v>-23.750000000000004</v>
      </c>
      <c r="AL10" s="11">
        <v>-5</v>
      </c>
      <c r="AM10" s="19">
        <f t="shared" si="6"/>
        <v>-18.750000000000004</v>
      </c>
      <c r="AO10" s="11">
        <v>28.749999999999996</v>
      </c>
      <c r="AP10" s="11">
        <v>20</v>
      </c>
      <c r="AQ10" s="19">
        <f t="shared" si="7"/>
        <v>8.7499999999999964</v>
      </c>
    </row>
    <row r="11" spans="1:43" ht="21" x14ac:dyDescent="0.65">
      <c r="A11" s="7" t="s">
        <v>11</v>
      </c>
      <c r="B11" s="7" t="s">
        <v>35</v>
      </c>
      <c r="C11" s="7" t="s">
        <v>36</v>
      </c>
      <c r="D11" s="7" t="s">
        <v>15</v>
      </c>
      <c r="E11" s="7" t="s">
        <v>21</v>
      </c>
      <c r="F11" s="7" t="s">
        <v>7</v>
      </c>
      <c r="G11" s="7" t="s">
        <v>37</v>
      </c>
      <c r="H11" s="7" t="s">
        <v>34</v>
      </c>
      <c r="I11" s="26" t="s">
        <v>26</v>
      </c>
      <c r="M11" s="11">
        <v>50</v>
      </c>
      <c r="N11" s="11">
        <v>-2.5</v>
      </c>
      <c r="O11" s="19">
        <f t="shared" si="0"/>
        <v>52.5</v>
      </c>
      <c r="P11" s="10"/>
      <c r="Q11" s="11">
        <v>-2.5</v>
      </c>
      <c r="R11" s="11">
        <v>7.5</v>
      </c>
      <c r="S11" s="19">
        <f t="shared" si="1"/>
        <v>-10</v>
      </c>
      <c r="U11" s="11">
        <v>47.5</v>
      </c>
      <c r="V11" s="11">
        <v>5</v>
      </c>
      <c r="W11" s="19">
        <f t="shared" si="2"/>
        <v>42.5</v>
      </c>
      <c r="Y11" s="11">
        <v>85.7</v>
      </c>
      <c r="Z11" s="11">
        <v>74.400000000000006</v>
      </c>
      <c r="AA11" s="19">
        <f t="shared" si="3"/>
        <v>11.299999999999997</v>
      </c>
      <c r="AC11" s="11">
        <v>54</v>
      </c>
      <c r="AD11" s="11">
        <v>64.67</v>
      </c>
      <c r="AE11" s="19">
        <f t="shared" si="4"/>
        <v>-10.670000000000002</v>
      </c>
      <c r="AG11" s="11">
        <v>37.5</v>
      </c>
      <c r="AH11" s="11">
        <v>1.25</v>
      </c>
      <c r="AI11" s="19">
        <f t="shared" si="5"/>
        <v>36.25</v>
      </c>
      <c r="AK11" s="11">
        <v>-13.75</v>
      </c>
      <c r="AL11" s="11">
        <v>-12.5</v>
      </c>
      <c r="AM11" s="19">
        <f t="shared" si="6"/>
        <v>-1.25</v>
      </c>
      <c r="AO11" s="11">
        <v>23.75</v>
      </c>
      <c r="AP11" s="11">
        <v>-11.25</v>
      </c>
      <c r="AQ11" s="19">
        <f t="shared" si="7"/>
        <v>35</v>
      </c>
    </row>
    <row r="12" spans="1:43" ht="18" x14ac:dyDescent="0.55000000000000004">
      <c r="A12" s="2" t="s">
        <v>16</v>
      </c>
      <c r="B12" s="18" t="s">
        <v>4</v>
      </c>
      <c r="C12" s="18" t="s">
        <v>5</v>
      </c>
      <c r="D12" s="4">
        <v>-0.34949999999999998</v>
      </c>
      <c r="E12" s="5">
        <v>384</v>
      </c>
      <c r="F12" s="4">
        <v>0.36299999999999999</v>
      </c>
      <c r="G12" s="6" t="s">
        <v>10</v>
      </c>
      <c r="H12" s="28">
        <v>6.3399999999999998E-2</v>
      </c>
      <c r="I12" s="16" t="s">
        <v>38</v>
      </c>
      <c r="M12" s="11">
        <v>77.5</v>
      </c>
      <c r="N12" s="11">
        <v>32.5</v>
      </c>
      <c r="O12" s="19">
        <f t="shared" si="0"/>
        <v>45</v>
      </c>
      <c r="P12" s="10"/>
      <c r="Q12" s="11">
        <v>-30</v>
      </c>
      <c r="R12" s="11">
        <v>20</v>
      </c>
      <c r="S12" s="19">
        <f t="shared" si="1"/>
        <v>-50</v>
      </c>
      <c r="U12" s="11">
        <v>47.5</v>
      </c>
      <c r="V12" s="11">
        <v>52.5</v>
      </c>
      <c r="W12" s="19">
        <f t="shared" si="2"/>
        <v>-5</v>
      </c>
      <c r="Y12" s="11">
        <v>76.7</v>
      </c>
      <c r="Z12" s="11">
        <v>82</v>
      </c>
      <c r="AA12" s="19">
        <f t="shared" si="3"/>
        <v>-5.2999999999999972</v>
      </c>
      <c r="AC12" s="11">
        <v>45.67</v>
      </c>
      <c r="AD12" s="11">
        <v>60.33</v>
      </c>
      <c r="AE12" s="19">
        <f t="shared" si="4"/>
        <v>-14.659999999999997</v>
      </c>
      <c r="AG12" s="11">
        <v>62.499999999999993</v>
      </c>
      <c r="AH12" s="11">
        <v>63.749999999999993</v>
      </c>
      <c r="AI12" s="19">
        <f t="shared" si="5"/>
        <v>-1.25</v>
      </c>
      <c r="AK12" s="11">
        <v>-1.2499999999999929</v>
      </c>
      <c r="AL12" s="11">
        <v>6.2500000000000071</v>
      </c>
      <c r="AM12" s="19">
        <f t="shared" si="6"/>
        <v>-7.5</v>
      </c>
      <c r="AO12" s="11">
        <v>61.25</v>
      </c>
      <c r="AP12" s="11">
        <v>70</v>
      </c>
      <c r="AQ12" s="19">
        <f t="shared" si="7"/>
        <v>-8.75</v>
      </c>
    </row>
    <row r="13" spans="1:43" ht="18" x14ac:dyDescent="0.55000000000000004">
      <c r="A13" s="2" t="s">
        <v>17</v>
      </c>
      <c r="B13" s="18" t="s">
        <v>4</v>
      </c>
      <c r="C13" s="18" t="s">
        <v>5</v>
      </c>
      <c r="D13" s="4">
        <v>-4.7750000000000001E-2</v>
      </c>
      <c r="E13" s="5">
        <v>374.5</v>
      </c>
      <c r="F13" s="4">
        <v>0.317</v>
      </c>
      <c r="G13" s="6" t="s">
        <v>10</v>
      </c>
      <c r="H13" s="28">
        <v>8.6599999999999996E-2</v>
      </c>
      <c r="I13" s="16" t="s">
        <v>39</v>
      </c>
      <c r="M13" s="11">
        <v>42.5</v>
      </c>
      <c r="N13" s="11">
        <v>75</v>
      </c>
      <c r="O13" s="19">
        <f t="shared" si="0"/>
        <v>-32.5</v>
      </c>
      <c r="P13" s="10"/>
      <c r="Q13" s="11">
        <v>-5</v>
      </c>
      <c r="R13" s="11">
        <v>5</v>
      </c>
      <c r="S13" s="19">
        <f t="shared" si="1"/>
        <v>-10</v>
      </c>
      <c r="U13" s="11">
        <v>37.5</v>
      </c>
      <c r="V13" s="11">
        <v>80</v>
      </c>
      <c r="W13" s="19">
        <f t="shared" si="2"/>
        <v>-42.5</v>
      </c>
      <c r="Y13" s="11">
        <v>87.2</v>
      </c>
      <c r="Z13" s="11">
        <v>69</v>
      </c>
      <c r="AA13" s="19">
        <f t="shared" si="3"/>
        <v>18.200000000000003</v>
      </c>
      <c r="AC13" s="11">
        <v>66.67</v>
      </c>
      <c r="AD13" s="11">
        <v>28</v>
      </c>
      <c r="AE13" s="19">
        <f t="shared" si="4"/>
        <v>38.67</v>
      </c>
      <c r="AG13" s="11">
        <v>33.75</v>
      </c>
      <c r="AH13" s="11">
        <v>52.500000000000007</v>
      </c>
      <c r="AI13" s="19">
        <f t="shared" si="5"/>
        <v>-18.750000000000007</v>
      </c>
      <c r="AK13" s="11">
        <v>1.25</v>
      </c>
      <c r="AL13" s="11">
        <v>3.7499999999999929</v>
      </c>
      <c r="AM13" s="19">
        <f t="shared" si="6"/>
        <v>-2.4999999999999929</v>
      </c>
      <c r="AO13" s="11">
        <v>35</v>
      </c>
      <c r="AP13" s="11">
        <v>56.25</v>
      </c>
      <c r="AQ13" s="19">
        <f t="shared" si="7"/>
        <v>-21.25</v>
      </c>
    </row>
    <row r="14" spans="1:43" ht="18" x14ac:dyDescent="0.55000000000000004">
      <c r="A14" s="2" t="s">
        <v>18</v>
      </c>
      <c r="B14" s="18" t="s">
        <v>4</v>
      </c>
      <c r="C14" s="18" t="s">
        <v>5</v>
      </c>
      <c r="D14" s="4">
        <v>-0.78649999999999998</v>
      </c>
      <c r="E14" s="5">
        <v>351.5</v>
      </c>
      <c r="F14" s="4">
        <v>0.216</v>
      </c>
      <c r="G14" s="6" t="s">
        <v>10</v>
      </c>
      <c r="H14" s="28">
        <v>0.14269999999999999</v>
      </c>
      <c r="I14" s="16" t="s">
        <v>42</v>
      </c>
      <c r="M14" s="11">
        <v>72.5</v>
      </c>
      <c r="N14" s="11">
        <v>67.5</v>
      </c>
      <c r="O14" s="19">
        <f t="shared" si="0"/>
        <v>5</v>
      </c>
      <c r="P14" s="10"/>
      <c r="Q14" s="11">
        <v>-2.5</v>
      </c>
      <c r="R14" s="11">
        <v>-20</v>
      </c>
      <c r="S14" s="19">
        <f t="shared" si="1"/>
        <v>17.5</v>
      </c>
      <c r="U14" s="11">
        <v>70</v>
      </c>
      <c r="V14" s="11">
        <v>47.5</v>
      </c>
      <c r="W14" s="19">
        <f t="shared" si="2"/>
        <v>22.5</v>
      </c>
      <c r="Y14" s="11">
        <v>68.400000000000006</v>
      </c>
      <c r="Z14" s="11">
        <v>66.900000000000006</v>
      </c>
      <c r="AA14" s="19">
        <f t="shared" si="3"/>
        <v>1.5</v>
      </c>
      <c r="AC14" s="11">
        <v>53</v>
      </c>
      <c r="AD14" s="11">
        <v>73.67</v>
      </c>
      <c r="AE14" s="19">
        <f t="shared" si="4"/>
        <v>-20.67</v>
      </c>
      <c r="AG14" s="11">
        <v>70</v>
      </c>
      <c r="AH14" s="11">
        <v>43.75</v>
      </c>
      <c r="AI14" s="19">
        <f t="shared" si="5"/>
        <v>26.25</v>
      </c>
      <c r="AK14" s="11">
        <v>1.25</v>
      </c>
      <c r="AL14" s="11">
        <v>-8.7499999999999929</v>
      </c>
      <c r="AM14" s="19">
        <f t="shared" si="6"/>
        <v>9.9999999999999929</v>
      </c>
      <c r="AO14" s="11">
        <v>71.25</v>
      </c>
      <c r="AP14" s="11">
        <v>35.000000000000007</v>
      </c>
      <c r="AQ14" s="19">
        <f t="shared" si="7"/>
        <v>36.249999999999993</v>
      </c>
    </row>
    <row r="15" spans="1:43" ht="18" x14ac:dyDescent="0.55000000000000004">
      <c r="A15" s="2"/>
      <c r="B15" s="18"/>
      <c r="C15" s="18"/>
      <c r="D15" s="4"/>
      <c r="E15" s="5"/>
      <c r="F15" s="4"/>
      <c r="G15" s="4"/>
      <c r="H15" s="16"/>
      <c r="I15" s="16"/>
      <c r="M15" s="11">
        <v>52.5</v>
      </c>
      <c r="N15" s="11">
        <v>55</v>
      </c>
      <c r="O15" s="19">
        <f t="shared" si="0"/>
        <v>-2.5</v>
      </c>
      <c r="P15" s="10"/>
      <c r="Q15" s="11">
        <v>-7.5</v>
      </c>
      <c r="R15" s="11">
        <v>-10</v>
      </c>
      <c r="S15" s="19">
        <f t="shared" si="1"/>
        <v>2.5</v>
      </c>
      <c r="U15" s="11">
        <v>45</v>
      </c>
      <c r="V15" s="11">
        <v>45</v>
      </c>
      <c r="W15" s="19">
        <f t="shared" si="2"/>
        <v>0</v>
      </c>
      <c r="Y15" s="11">
        <v>83.5</v>
      </c>
      <c r="Z15" s="11">
        <v>70.7</v>
      </c>
      <c r="AA15" s="19">
        <f t="shared" si="3"/>
        <v>12.799999999999997</v>
      </c>
      <c r="AC15" s="11">
        <v>58.67</v>
      </c>
      <c r="AD15" s="11">
        <v>36.33</v>
      </c>
      <c r="AE15" s="19">
        <f t="shared" si="4"/>
        <v>22.340000000000003</v>
      </c>
      <c r="AG15" s="11">
        <v>48.75</v>
      </c>
      <c r="AH15" s="11">
        <v>77.5</v>
      </c>
      <c r="AI15" s="19">
        <f t="shared" si="5"/>
        <v>-28.75</v>
      </c>
      <c r="AK15" s="11">
        <v>-10</v>
      </c>
      <c r="AL15" s="11">
        <v>-23.75</v>
      </c>
      <c r="AM15" s="19">
        <f t="shared" si="6"/>
        <v>13.75</v>
      </c>
      <c r="AO15" s="11">
        <v>38.75</v>
      </c>
      <c r="AP15" s="11">
        <v>53.75</v>
      </c>
      <c r="AQ15" s="19">
        <f t="shared" si="7"/>
        <v>-15</v>
      </c>
    </row>
    <row r="16" spans="1:43" ht="18" x14ac:dyDescent="0.55000000000000004">
      <c r="A16" s="8"/>
      <c r="B16" s="8"/>
      <c r="C16" s="8"/>
      <c r="D16" s="13"/>
      <c r="E16" s="13"/>
      <c r="F16" s="14"/>
      <c r="G16" s="14"/>
      <c r="H16" s="14"/>
      <c r="I16" s="14"/>
      <c r="M16" s="11">
        <v>0</v>
      </c>
      <c r="N16" s="11">
        <v>42.5</v>
      </c>
      <c r="O16" s="19">
        <f t="shared" si="0"/>
        <v>-42.5</v>
      </c>
      <c r="P16" s="10"/>
      <c r="Q16" s="11">
        <v>0</v>
      </c>
      <c r="R16" s="11">
        <v>-10</v>
      </c>
      <c r="S16" s="19">
        <f t="shared" si="1"/>
        <v>10</v>
      </c>
      <c r="U16" s="11">
        <v>0</v>
      </c>
      <c r="V16" s="11">
        <v>32.5</v>
      </c>
      <c r="W16" s="19">
        <f t="shared" si="2"/>
        <v>-32.5</v>
      </c>
      <c r="Y16" s="11">
        <v>43.6</v>
      </c>
      <c r="Z16" s="11">
        <v>47.4</v>
      </c>
      <c r="AA16" s="19">
        <f t="shared" si="3"/>
        <v>-3.7999999999999972</v>
      </c>
      <c r="AC16" s="11">
        <v>61.67</v>
      </c>
      <c r="AD16" s="11">
        <v>49.33</v>
      </c>
      <c r="AE16" s="19">
        <f t="shared" si="4"/>
        <v>12.340000000000003</v>
      </c>
      <c r="AG16" s="11">
        <v>0</v>
      </c>
      <c r="AH16" s="11">
        <v>43.75</v>
      </c>
      <c r="AI16" s="19">
        <f t="shared" si="5"/>
        <v>-43.75</v>
      </c>
      <c r="AK16" s="11">
        <v>0</v>
      </c>
      <c r="AL16" s="11">
        <v>-1.25</v>
      </c>
      <c r="AM16" s="19">
        <f t="shared" si="6"/>
        <v>1.25</v>
      </c>
      <c r="AO16" s="11">
        <v>0</v>
      </c>
      <c r="AP16" s="11">
        <v>42.5</v>
      </c>
      <c r="AQ16" s="19">
        <f t="shared" si="7"/>
        <v>-42.5</v>
      </c>
    </row>
    <row r="17" spans="13:43" ht="18" x14ac:dyDescent="0.55000000000000004">
      <c r="M17" s="11">
        <v>30</v>
      </c>
      <c r="N17" s="11">
        <v>2.5</v>
      </c>
      <c r="O17" s="19">
        <f t="shared" si="0"/>
        <v>27.5</v>
      </c>
      <c r="P17" s="10"/>
      <c r="Q17" s="11">
        <v>-2.5</v>
      </c>
      <c r="R17" s="11">
        <v>-5</v>
      </c>
      <c r="S17" s="19">
        <f t="shared" si="1"/>
        <v>2.5</v>
      </c>
      <c r="U17" s="11">
        <v>27.5</v>
      </c>
      <c r="V17" s="11">
        <v>-2.5</v>
      </c>
      <c r="W17" s="19">
        <f t="shared" si="2"/>
        <v>30</v>
      </c>
      <c r="Y17" s="11">
        <v>78.2</v>
      </c>
      <c r="Z17" s="11">
        <v>60.9</v>
      </c>
      <c r="AA17" s="19">
        <f t="shared" si="3"/>
        <v>17.300000000000004</v>
      </c>
      <c r="AC17" s="11">
        <v>60.67</v>
      </c>
      <c r="AD17" s="11">
        <v>50.33</v>
      </c>
      <c r="AE17" s="19">
        <f t="shared" si="4"/>
        <v>10.340000000000003</v>
      </c>
      <c r="AG17" s="11">
        <v>42.5</v>
      </c>
      <c r="AH17" s="11">
        <v>22.5</v>
      </c>
      <c r="AI17" s="19">
        <f t="shared" si="5"/>
        <v>20</v>
      </c>
      <c r="AK17" s="11">
        <v>1.25</v>
      </c>
      <c r="AL17" s="11">
        <v>-11.250000000000007</v>
      </c>
      <c r="AM17" s="19">
        <f t="shared" si="6"/>
        <v>12.500000000000007</v>
      </c>
      <c r="AO17" s="11">
        <v>43.75</v>
      </c>
      <c r="AP17" s="11">
        <v>11.249999999999993</v>
      </c>
      <c r="AQ17" s="19">
        <f t="shared" si="7"/>
        <v>32.500000000000007</v>
      </c>
    </row>
    <row r="18" spans="13:43" ht="18" x14ac:dyDescent="0.55000000000000004">
      <c r="M18" s="11">
        <v>50</v>
      </c>
      <c r="N18" s="11">
        <v>20</v>
      </c>
      <c r="O18" s="19">
        <f t="shared" si="0"/>
        <v>30</v>
      </c>
      <c r="P18" s="10"/>
      <c r="Q18" s="11">
        <v>-2.5</v>
      </c>
      <c r="R18" s="11">
        <v>20</v>
      </c>
      <c r="S18" s="19">
        <f t="shared" si="1"/>
        <v>-22.5</v>
      </c>
      <c r="U18" s="11">
        <v>47.5</v>
      </c>
      <c r="V18" s="11">
        <v>40</v>
      </c>
      <c r="W18" s="19">
        <f t="shared" si="2"/>
        <v>7.5</v>
      </c>
      <c r="Y18" s="11">
        <v>54.1</v>
      </c>
      <c r="Z18" s="11">
        <v>72.2</v>
      </c>
      <c r="AA18" s="19">
        <f t="shared" si="3"/>
        <v>-18.100000000000001</v>
      </c>
      <c r="AC18" s="11">
        <v>30</v>
      </c>
      <c r="AD18" s="11">
        <v>42</v>
      </c>
      <c r="AE18" s="19">
        <f t="shared" si="4"/>
        <v>-12</v>
      </c>
      <c r="AG18" s="11">
        <v>65</v>
      </c>
      <c r="AH18" s="11">
        <v>32.5</v>
      </c>
      <c r="AI18" s="19">
        <f t="shared" si="5"/>
        <v>32.5</v>
      </c>
      <c r="AK18" s="11">
        <v>-15</v>
      </c>
      <c r="AL18" s="11">
        <v>-8.75</v>
      </c>
      <c r="AM18" s="19">
        <f t="shared" si="6"/>
        <v>-6.25</v>
      </c>
      <c r="AO18" s="11">
        <v>50</v>
      </c>
      <c r="AP18" s="11">
        <v>23.75</v>
      </c>
      <c r="AQ18" s="19">
        <f t="shared" si="7"/>
        <v>26.25</v>
      </c>
    </row>
    <row r="19" spans="13:43" ht="18" x14ac:dyDescent="0.55000000000000004">
      <c r="M19" s="11">
        <v>47.5</v>
      </c>
      <c r="N19" s="11">
        <v>47.5</v>
      </c>
      <c r="O19" s="19">
        <f t="shared" si="0"/>
        <v>0</v>
      </c>
      <c r="P19" s="10"/>
      <c r="Q19" s="11">
        <v>7.5</v>
      </c>
      <c r="R19" s="11">
        <v>-7.5</v>
      </c>
      <c r="S19" s="19">
        <f t="shared" si="1"/>
        <v>15</v>
      </c>
      <c r="U19" s="11">
        <v>55</v>
      </c>
      <c r="V19" s="11">
        <v>40</v>
      </c>
      <c r="W19" s="19">
        <f t="shared" si="2"/>
        <v>15</v>
      </c>
      <c r="Y19" s="11">
        <v>49.6</v>
      </c>
      <c r="Z19" s="11">
        <v>67.7</v>
      </c>
      <c r="AA19" s="19">
        <f t="shared" si="3"/>
        <v>-18.100000000000001</v>
      </c>
      <c r="AC19" s="11">
        <v>73.67</v>
      </c>
      <c r="AD19" s="11">
        <v>46.33</v>
      </c>
      <c r="AE19" s="19">
        <f t="shared" si="4"/>
        <v>27.340000000000003</v>
      </c>
      <c r="AG19" s="11">
        <v>42.5</v>
      </c>
      <c r="AH19" s="11">
        <v>58.75</v>
      </c>
      <c r="AI19" s="19">
        <f t="shared" si="5"/>
        <v>-16.25</v>
      </c>
      <c r="AK19" s="11">
        <v>17.5</v>
      </c>
      <c r="AL19" s="11">
        <v>-7.5000000000000071</v>
      </c>
      <c r="AM19" s="19">
        <f t="shared" si="6"/>
        <v>25.000000000000007</v>
      </c>
      <c r="AO19" s="11">
        <v>60</v>
      </c>
      <c r="AP19" s="11">
        <v>51.249999999999993</v>
      </c>
      <c r="AQ19" s="19">
        <f t="shared" si="7"/>
        <v>8.7500000000000071</v>
      </c>
    </row>
    <row r="20" spans="13:43" ht="18" x14ac:dyDescent="0.55000000000000004">
      <c r="M20" s="11">
        <v>47.5</v>
      </c>
      <c r="N20" s="11">
        <v>12.5</v>
      </c>
      <c r="O20" s="19">
        <f t="shared" si="0"/>
        <v>35</v>
      </c>
      <c r="P20" s="10"/>
      <c r="Q20" s="11">
        <v>-27.5</v>
      </c>
      <c r="R20" s="11">
        <v>-7.5</v>
      </c>
      <c r="S20" s="19">
        <f t="shared" si="1"/>
        <v>-20</v>
      </c>
      <c r="U20" s="11">
        <v>20</v>
      </c>
      <c r="V20" s="11">
        <v>5</v>
      </c>
      <c r="W20" s="19">
        <f t="shared" si="2"/>
        <v>15</v>
      </c>
      <c r="Y20" s="11">
        <v>75.900000000000006</v>
      </c>
      <c r="Z20" s="11">
        <v>68.400000000000006</v>
      </c>
      <c r="AA20" s="19">
        <f t="shared" si="3"/>
        <v>7.5</v>
      </c>
      <c r="AC20" s="11">
        <v>72.67</v>
      </c>
      <c r="AD20" s="11">
        <v>63.67</v>
      </c>
      <c r="AE20" s="19">
        <f t="shared" si="4"/>
        <v>9</v>
      </c>
      <c r="AG20" s="11">
        <v>36.25</v>
      </c>
      <c r="AH20" s="11">
        <v>32.5</v>
      </c>
      <c r="AI20" s="19">
        <f t="shared" si="5"/>
        <v>3.75</v>
      </c>
      <c r="AK20" s="11">
        <v>-1.2499999999999929</v>
      </c>
      <c r="AL20" s="11">
        <v>-8.75</v>
      </c>
      <c r="AM20" s="19">
        <f t="shared" si="6"/>
        <v>7.5000000000000071</v>
      </c>
      <c r="AO20" s="11">
        <v>35.000000000000007</v>
      </c>
      <c r="AP20" s="11">
        <v>23.75</v>
      </c>
      <c r="AQ20" s="19">
        <f t="shared" si="7"/>
        <v>11.250000000000007</v>
      </c>
    </row>
    <row r="21" spans="13:43" ht="18" x14ac:dyDescent="0.55000000000000004">
      <c r="M21" s="11">
        <v>72.5</v>
      </c>
      <c r="N21" s="11">
        <v>15</v>
      </c>
      <c r="O21" s="19">
        <f t="shared" si="0"/>
        <v>57.5</v>
      </c>
      <c r="P21" s="10"/>
      <c r="Q21" s="11">
        <v>-12.5</v>
      </c>
      <c r="R21" s="11">
        <v>5</v>
      </c>
      <c r="S21" s="19">
        <f t="shared" si="1"/>
        <v>-17.5</v>
      </c>
      <c r="U21" s="11">
        <v>60</v>
      </c>
      <c r="V21" s="11">
        <v>20</v>
      </c>
      <c r="W21" s="19">
        <f t="shared" si="2"/>
        <v>40</v>
      </c>
      <c r="Y21" s="11">
        <v>60.9</v>
      </c>
      <c r="Z21" s="11">
        <v>51.9</v>
      </c>
      <c r="AA21" s="19">
        <f t="shared" si="3"/>
        <v>9</v>
      </c>
      <c r="AC21" s="11">
        <v>38</v>
      </c>
      <c r="AD21" s="11">
        <v>58</v>
      </c>
      <c r="AE21" s="19">
        <f t="shared" si="4"/>
        <v>-20</v>
      </c>
      <c r="AG21" s="11">
        <v>68.75</v>
      </c>
      <c r="AH21" s="11">
        <v>23.749999999999993</v>
      </c>
      <c r="AI21" s="19">
        <f t="shared" si="5"/>
        <v>45.000000000000007</v>
      </c>
      <c r="AK21" s="11">
        <v>-6.25</v>
      </c>
      <c r="AL21" s="11">
        <v>3.7500000000000142</v>
      </c>
      <c r="AM21" s="19">
        <f t="shared" si="6"/>
        <v>-10.000000000000014</v>
      </c>
      <c r="AO21" s="11">
        <v>62.5</v>
      </c>
      <c r="AP21" s="11">
        <v>27.500000000000007</v>
      </c>
      <c r="AQ21" s="19">
        <f t="shared" si="7"/>
        <v>34.999999999999993</v>
      </c>
    </row>
    <row r="22" spans="13:43" ht="18" x14ac:dyDescent="0.55000000000000004">
      <c r="M22" s="11">
        <v>37.5</v>
      </c>
      <c r="N22" s="11">
        <v>20</v>
      </c>
      <c r="O22" s="19">
        <f t="shared" si="0"/>
        <v>17.5</v>
      </c>
      <c r="P22" s="10"/>
      <c r="Q22" s="11">
        <v>5</v>
      </c>
      <c r="R22" s="11">
        <v>-22.5</v>
      </c>
      <c r="S22" s="19">
        <f t="shared" si="1"/>
        <v>27.5</v>
      </c>
      <c r="U22" s="11">
        <v>42.5</v>
      </c>
      <c r="V22" s="11">
        <v>-2.5</v>
      </c>
      <c r="W22" s="19">
        <f t="shared" si="2"/>
        <v>45</v>
      </c>
      <c r="Y22" s="11">
        <v>64.7</v>
      </c>
      <c r="Z22" s="11">
        <v>72.900000000000006</v>
      </c>
      <c r="AA22" s="19">
        <f t="shared" si="3"/>
        <v>-8.2000000000000028</v>
      </c>
      <c r="AC22" s="11">
        <v>58</v>
      </c>
      <c r="AD22" s="11">
        <v>62.67</v>
      </c>
      <c r="AE22" s="19">
        <f t="shared" si="4"/>
        <v>-4.6700000000000017</v>
      </c>
      <c r="AG22" s="11">
        <v>47.5</v>
      </c>
      <c r="AH22" s="11">
        <v>41.250000000000007</v>
      </c>
      <c r="AI22" s="19">
        <f t="shared" si="5"/>
        <v>6.2499999999999929</v>
      </c>
      <c r="AK22" s="11">
        <v>7.5</v>
      </c>
      <c r="AL22" s="11">
        <v>9.9999999999999929</v>
      </c>
      <c r="AM22" s="19">
        <f t="shared" si="6"/>
        <v>-2.4999999999999929</v>
      </c>
      <c r="AO22" s="11">
        <v>55</v>
      </c>
      <c r="AP22" s="11">
        <v>51.25</v>
      </c>
      <c r="AQ22" s="19">
        <f t="shared" si="7"/>
        <v>3.75</v>
      </c>
    </row>
    <row r="23" spans="13:43" ht="18" x14ac:dyDescent="0.55000000000000004">
      <c r="M23" s="11">
        <v>27.5</v>
      </c>
      <c r="N23" s="11">
        <v>55</v>
      </c>
      <c r="O23" s="19">
        <f t="shared" si="0"/>
        <v>-27.5</v>
      </c>
      <c r="P23" s="10"/>
      <c r="Q23" s="11">
        <v>-27.5</v>
      </c>
      <c r="R23" s="11">
        <v>-17.5</v>
      </c>
      <c r="S23" s="19">
        <f t="shared" si="1"/>
        <v>-10</v>
      </c>
      <c r="U23" s="11">
        <v>0</v>
      </c>
      <c r="V23" s="11">
        <v>37.5</v>
      </c>
      <c r="W23" s="19">
        <f t="shared" si="2"/>
        <v>-37.5</v>
      </c>
      <c r="Y23" s="11">
        <v>80.5</v>
      </c>
      <c r="Z23" s="11">
        <v>77.400000000000006</v>
      </c>
      <c r="AA23" s="19">
        <f t="shared" si="3"/>
        <v>3.0999999999999943</v>
      </c>
      <c r="AC23" s="11">
        <v>63.33</v>
      </c>
      <c r="AD23" s="11">
        <v>35.33</v>
      </c>
      <c r="AE23" s="19">
        <f t="shared" si="4"/>
        <v>28</v>
      </c>
      <c r="AG23" s="11">
        <v>20</v>
      </c>
      <c r="AH23" s="11">
        <v>28.75</v>
      </c>
      <c r="AI23" s="19">
        <f t="shared" si="5"/>
        <v>-8.75</v>
      </c>
      <c r="AK23" s="11">
        <v>-11.25</v>
      </c>
      <c r="AL23" s="11">
        <v>-7.5</v>
      </c>
      <c r="AM23" s="19">
        <f t="shared" si="6"/>
        <v>-3.75</v>
      </c>
      <c r="AO23" s="11">
        <v>8.75</v>
      </c>
      <c r="AP23" s="11">
        <v>21.25</v>
      </c>
      <c r="AQ23" s="19">
        <f t="shared" si="7"/>
        <v>-12.5</v>
      </c>
    </row>
    <row r="24" spans="13:43" ht="18" x14ac:dyDescent="0.55000000000000004">
      <c r="M24" s="11">
        <v>0</v>
      </c>
      <c r="N24" s="11">
        <v>20</v>
      </c>
      <c r="O24" s="19">
        <f t="shared" si="0"/>
        <v>-20</v>
      </c>
      <c r="Q24" s="11">
        <v>5</v>
      </c>
      <c r="R24" s="11">
        <v>15</v>
      </c>
      <c r="S24" s="19">
        <f t="shared" si="1"/>
        <v>-10</v>
      </c>
      <c r="U24" s="11">
        <v>5</v>
      </c>
      <c r="V24" s="11">
        <v>35</v>
      </c>
      <c r="W24" s="19">
        <f t="shared" si="2"/>
        <v>-30</v>
      </c>
      <c r="Y24" s="11">
        <v>91.7</v>
      </c>
      <c r="Z24" s="11">
        <v>72.900000000000006</v>
      </c>
      <c r="AA24" s="19">
        <f t="shared" si="3"/>
        <v>18.799999999999997</v>
      </c>
      <c r="AC24" s="11">
        <v>47</v>
      </c>
      <c r="AD24" s="11">
        <v>53.67</v>
      </c>
      <c r="AE24" s="19">
        <f t="shared" si="4"/>
        <v>-6.6700000000000017</v>
      </c>
      <c r="AG24" s="11">
        <v>12.5</v>
      </c>
      <c r="AH24" s="11">
        <v>27.5</v>
      </c>
      <c r="AI24" s="19">
        <f t="shared" si="5"/>
        <v>-15</v>
      </c>
      <c r="AK24" s="11">
        <v>2.5</v>
      </c>
      <c r="AL24" s="11">
        <v>-12.5</v>
      </c>
      <c r="AM24" s="19">
        <f t="shared" si="6"/>
        <v>15</v>
      </c>
      <c r="AO24" s="11">
        <v>15</v>
      </c>
      <c r="AP24" s="11">
        <v>13.75</v>
      </c>
      <c r="AQ24" s="19">
        <f t="shared" si="7"/>
        <v>1.25</v>
      </c>
    </row>
    <row r="25" spans="13:43" ht="18" x14ac:dyDescent="0.55000000000000004">
      <c r="M25" s="11">
        <v>62.5</v>
      </c>
      <c r="N25" s="11">
        <v>42.5</v>
      </c>
      <c r="O25" s="19">
        <f t="shared" si="0"/>
        <v>20</v>
      </c>
      <c r="Q25" s="11">
        <v>-12.5</v>
      </c>
      <c r="R25" s="11">
        <v>-10</v>
      </c>
      <c r="S25" s="19">
        <f t="shared" si="1"/>
        <v>-2.5</v>
      </c>
      <c r="U25" s="11">
        <v>50</v>
      </c>
      <c r="V25" s="11">
        <v>32.5</v>
      </c>
      <c r="W25" s="19">
        <f t="shared" si="2"/>
        <v>17.5</v>
      </c>
      <c r="Y25" s="11">
        <v>60.2</v>
      </c>
      <c r="Z25" s="11">
        <v>63.2</v>
      </c>
      <c r="AA25" s="19">
        <f t="shared" si="3"/>
        <v>-3</v>
      </c>
      <c r="AC25" s="11">
        <v>31</v>
      </c>
      <c r="AD25" s="11">
        <v>19</v>
      </c>
      <c r="AE25" s="19">
        <f t="shared" si="4"/>
        <v>12</v>
      </c>
      <c r="AG25" s="11">
        <v>48.749999999999993</v>
      </c>
      <c r="AH25" s="11">
        <v>11.25</v>
      </c>
      <c r="AI25" s="19">
        <f t="shared" si="5"/>
        <v>37.499999999999993</v>
      </c>
      <c r="AK25" s="11">
        <v>-1.2499999999999929</v>
      </c>
      <c r="AL25" s="11">
        <v>1.25</v>
      </c>
      <c r="AM25" s="19">
        <f t="shared" si="6"/>
        <v>-2.4999999999999929</v>
      </c>
      <c r="AO25" s="11">
        <v>47.5</v>
      </c>
      <c r="AP25" s="11">
        <v>28.75</v>
      </c>
      <c r="AQ25" s="19">
        <f t="shared" si="7"/>
        <v>18.75</v>
      </c>
    </row>
    <row r="26" spans="13:43" ht="18" x14ac:dyDescent="0.55000000000000004">
      <c r="M26" s="11">
        <v>67.5</v>
      </c>
      <c r="N26" s="11">
        <v>2.5</v>
      </c>
      <c r="O26" s="19">
        <f t="shared" si="0"/>
        <v>65</v>
      </c>
      <c r="Q26" s="11">
        <v>-7.5</v>
      </c>
      <c r="R26" s="11">
        <v>22.5</v>
      </c>
      <c r="S26" s="19">
        <f t="shared" si="1"/>
        <v>-30</v>
      </c>
      <c r="U26" s="11">
        <v>60</v>
      </c>
      <c r="V26" s="11">
        <v>25</v>
      </c>
      <c r="W26" s="19">
        <f t="shared" si="2"/>
        <v>35</v>
      </c>
      <c r="Y26" s="11">
        <v>64.7</v>
      </c>
      <c r="Z26" s="11">
        <v>51.1</v>
      </c>
      <c r="AA26" s="19">
        <f t="shared" si="3"/>
        <v>13.600000000000001</v>
      </c>
      <c r="AC26" s="11">
        <v>52.67</v>
      </c>
      <c r="AD26" s="11">
        <v>20.67</v>
      </c>
      <c r="AE26" s="19">
        <f t="shared" si="4"/>
        <v>32</v>
      </c>
      <c r="AG26" s="11">
        <v>66.25</v>
      </c>
      <c r="AH26" s="11">
        <v>40</v>
      </c>
      <c r="AI26" s="19">
        <f t="shared" si="5"/>
        <v>26.25</v>
      </c>
      <c r="AK26" s="11">
        <v>-5</v>
      </c>
      <c r="AL26" s="11">
        <v>6.25</v>
      </c>
      <c r="AM26" s="19">
        <f t="shared" si="6"/>
        <v>-11.25</v>
      </c>
      <c r="AO26" s="11">
        <v>61.25</v>
      </c>
      <c r="AP26" s="11">
        <v>17.5</v>
      </c>
      <c r="AQ26" s="19">
        <f t="shared" si="7"/>
        <v>43.75</v>
      </c>
    </row>
    <row r="27" spans="13:43" ht="18" x14ac:dyDescent="0.55000000000000004">
      <c r="M27" s="11">
        <v>60</v>
      </c>
      <c r="N27" s="11">
        <v>65</v>
      </c>
      <c r="O27" s="19">
        <f t="shared" si="0"/>
        <v>-5</v>
      </c>
      <c r="Q27" s="11">
        <v>7.5</v>
      </c>
      <c r="R27" s="11">
        <v>-7.5</v>
      </c>
      <c r="S27" s="19">
        <f t="shared" si="1"/>
        <v>15</v>
      </c>
      <c r="U27" s="11">
        <v>67.5</v>
      </c>
      <c r="V27" s="11">
        <v>57.5</v>
      </c>
      <c r="W27" s="19">
        <f t="shared" si="2"/>
        <v>10</v>
      </c>
      <c r="Y27" s="11">
        <v>62.4</v>
      </c>
      <c r="Z27" s="11">
        <v>85</v>
      </c>
      <c r="AA27" s="19">
        <f t="shared" si="3"/>
        <v>-22.6</v>
      </c>
      <c r="AC27" s="11">
        <v>48.33</v>
      </c>
      <c r="AD27" s="11">
        <v>57</v>
      </c>
      <c r="AE27" s="19">
        <f t="shared" si="4"/>
        <v>-8.6700000000000017</v>
      </c>
      <c r="AG27" s="11">
        <v>60</v>
      </c>
      <c r="AH27" s="11">
        <v>55</v>
      </c>
      <c r="AI27" s="19">
        <f t="shared" si="5"/>
        <v>5</v>
      </c>
      <c r="AK27" s="11">
        <v>-2.5000000000000071</v>
      </c>
      <c r="AL27" s="11">
        <v>1.25</v>
      </c>
      <c r="AM27" s="19">
        <f t="shared" si="6"/>
        <v>-3.7500000000000071</v>
      </c>
      <c r="AO27" s="11">
        <v>57.499999999999993</v>
      </c>
      <c r="AP27" s="11">
        <v>41.25</v>
      </c>
      <c r="AQ27" s="19">
        <f t="shared" si="7"/>
        <v>16.249999999999993</v>
      </c>
    </row>
    <row r="28" spans="13:43" ht="18" x14ac:dyDescent="0.55000000000000004">
      <c r="M28" s="11">
        <v>30</v>
      </c>
      <c r="N28" s="11">
        <v>50</v>
      </c>
      <c r="O28" s="19">
        <f t="shared" si="0"/>
        <v>-20</v>
      </c>
      <c r="Q28" s="11">
        <v>12.5</v>
      </c>
      <c r="R28" s="11">
        <v>-10</v>
      </c>
      <c r="S28" s="19">
        <f t="shared" si="1"/>
        <v>22.5</v>
      </c>
      <c r="U28" s="11">
        <v>42.5</v>
      </c>
      <c r="V28" s="11">
        <v>40</v>
      </c>
      <c r="W28" s="19">
        <f t="shared" si="2"/>
        <v>2.5</v>
      </c>
      <c r="Y28" s="11">
        <v>74.400000000000006</v>
      </c>
      <c r="Z28" s="11">
        <v>72.2</v>
      </c>
      <c r="AA28" s="19">
        <f t="shared" si="3"/>
        <v>2.2000000000000028</v>
      </c>
      <c r="AC28" s="11">
        <v>61</v>
      </c>
      <c r="AD28" s="11">
        <v>59.33</v>
      </c>
      <c r="AE28" s="19">
        <f t="shared" si="4"/>
        <v>1.6700000000000017</v>
      </c>
      <c r="AG28" s="11">
        <v>38.75</v>
      </c>
      <c r="AH28" s="11">
        <v>47.5</v>
      </c>
      <c r="AI28" s="19">
        <f t="shared" si="5"/>
        <v>-8.75</v>
      </c>
      <c r="AK28" s="11">
        <v>12.5</v>
      </c>
      <c r="AL28" s="11">
        <v>-16.25</v>
      </c>
      <c r="AM28" s="19">
        <f t="shared" si="6"/>
        <v>28.75</v>
      </c>
      <c r="AO28" s="11">
        <v>51.25</v>
      </c>
      <c r="AP28" s="11">
        <v>38.75</v>
      </c>
      <c r="AQ28" s="19">
        <f t="shared" si="7"/>
        <v>12.5</v>
      </c>
    </row>
    <row r="29" spans="13:43" ht="18" x14ac:dyDescent="0.55000000000000004">
      <c r="M29" s="11">
        <v>55</v>
      </c>
      <c r="N29" s="11">
        <v>35</v>
      </c>
      <c r="O29" s="19">
        <f t="shared" si="0"/>
        <v>20</v>
      </c>
      <c r="Q29" s="11">
        <v>-10</v>
      </c>
      <c r="R29" s="11">
        <v>-10</v>
      </c>
      <c r="S29" s="19">
        <f t="shared" si="1"/>
        <v>0</v>
      </c>
      <c r="U29" s="11">
        <v>45</v>
      </c>
      <c r="V29" s="11">
        <v>25</v>
      </c>
      <c r="W29" s="19">
        <f t="shared" si="2"/>
        <v>20</v>
      </c>
      <c r="Y29" s="11">
        <v>78.900000000000006</v>
      </c>
      <c r="Z29" s="11">
        <v>45.9</v>
      </c>
      <c r="AA29" s="19">
        <f t="shared" si="3"/>
        <v>33.000000000000007</v>
      </c>
      <c r="AC29" s="11">
        <v>54.67</v>
      </c>
      <c r="AD29" s="11">
        <v>24</v>
      </c>
      <c r="AE29" s="19">
        <f t="shared" si="4"/>
        <v>30.67</v>
      </c>
      <c r="AG29" s="11">
        <v>68.75</v>
      </c>
      <c r="AH29" s="11">
        <v>33.75</v>
      </c>
      <c r="AI29" s="19">
        <f t="shared" si="5"/>
        <v>35</v>
      </c>
      <c r="AK29" s="11">
        <v>-2.5</v>
      </c>
      <c r="AL29" s="11">
        <v>-23.75</v>
      </c>
      <c r="AM29" s="19">
        <f t="shared" si="6"/>
        <v>21.25</v>
      </c>
      <c r="AO29" s="11">
        <v>66.25</v>
      </c>
      <c r="AP29" s="11">
        <v>23.75</v>
      </c>
      <c r="AQ29" s="19">
        <f t="shared" si="7"/>
        <v>42.5</v>
      </c>
    </row>
    <row r="30" spans="13:43" ht="18" x14ac:dyDescent="0.55000000000000004">
      <c r="M30" s="11">
        <v>52.5</v>
      </c>
      <c r="N30" s="11">
        <v>37.5</v>
      </c>
      <c r="O30" s="19">
        <f t="shared" si="0"/>
        <v>15</v>
      </c>
      <c r="Q30" s="11">
        <v>-2.5</v>
      </c>
      <c r="R30" s="11">
        <v>-5</v>
      </c>
      <c r="S30" s="19">
        <f t="shared" si="1"/>
        <v>2.5</v>
      </c>
      <c r="U30" s="11">
        <v>50</v>
      </c>
      <c r="V30" s="11">
        <v>32.5</v>
      </c>
      <c r="W30" s="19">
        <f t="shared" si="2"/>
        <v>17.5</v>
      </c>
      <c r="Y30" s="11">
        <v>81.2</v>
      </c>
      <c r="Z30" s="11">
        <v>57.9</v>
      </c>
      <c r="AA30" s="19">
        <f t="shared" si="3"/>
        <v>23.300000000000004</v>
      </c>
      <c r="AC30" s="11">
        <v>25.33</v>
      </c>
      <c r="AD30" s="11">
        <v>16.670000000000002</v>
      </c>
      <c r="AE30" s="19">
        <f t="shared" si="4"/>
        <v>8.6599999999999966</v>
      </c>
      <c r="AG30" s="11">
        <v>17.5</v>
      </c>
      <c r="AH30" s="11">
        <v>6.25</v>
      </c>
      <c r="AI30" s="19">
        <f t="shared" si="5"/>
        <v>11.25</v>
      </c>
      <c r="AK30" s="11">
        <v>2.5</v>
      </c>
      <c r="AL30" s="11">
        <v>1.25</v>
      </c>
      <c r="AM30" s="19">
        <f t="shared" si="6"/>
        <v>1.25</v>
      </c>
      <c r="AO30" s="11">
        <v>20</v>
      </c>
      <c r="AP30" s="11">
        <v>35</v>
      </c>
      <c r="AQ30" s="19">
        <f t="shared" si="7"/>
        <v>-15</v>
      </c>
    </row>
    <row r="31" spans="13:43" ht="18" x14ac:dyDescent="0.55000000000000004">
      <c r="M31" s="11">
        <v>52.5</v>
      </c>
      <c r="N31" s="11">
        <v>5</v>
      </c>
      <c r="O31" s="19">
        <f t="shared" si="0"/>
        <v>47.5</v>
      </c>
      <c r="Q31" s="11">
        <v>-17.5</v>
      </c>
      <c r="R31" s="11">
        <v>15</v>
      </c>
      <c r="S31" s="19">
        <f t="shared" si="1"/>
        <v>-32.5</v>
      </c>
      <c r="U31" s="11">
        <v>35</v>
      </c>
      <c r="V31" s="11">
        <v>20</v>
      </c>
      <c r="W31" s="19">
        <f t="shared" si="2"/>
        <v>15</v>
      </c>
      <c r="Y31" s="11">
        <v>80.5</v>
      </c>
      <c r="Z31" s="11">
        <v>64.7</v>
      </c>
      <c r="AA31" s="19">
        <f t="shared" si="3"/>
        <v>15.799999999999997</v>
      </c>
      <c r="AC31" s="11">
        <v>60</v>
      </c>
      <c r="AD31" s="11">
        <v>52</v>
      </c>
      <c r="AE31" s="19">
        <f t="shared" si="4"/>
        <v>8</v>
      </c>
      <c r="AG31" s="11">
        <v>8.7499999999999929</v>
      </c>
      <c r="AH31" s="11">
        <v>75</v>
      </c>
      <c r="AI31" s="19">
        <f t="shared" si="5"/>
        <v>-66.25</v>
      </c>
      <c r="AK31" s="11">
        <v>-12.499999999999993</v>
      </c>
      <c r="AL31" s="11">
        <v>0</v>
      </c>
      <c r="AM31" s="19">
        <f t="shared" si="6"/>
        <v>-12.499999999999993</v>
      </c>
      <c r="AO31" s="11">
        <v>-3.75</v>
      </c>
      <c r="AP31" s="11">
        <v>6.25</v>
      </c>
      <c r="AQ31" s="19">
        <f t="shared" si="7"/>
        <v>-10</v>
      </c>
    </row>
    <row r="32" spans="13:43" ht="18" x14ac:dyDescent="0.55000000000000004">
      <c r="M32" s="11">
        <v>37.5</v>
      </c>
      <c r="N32" s="11">
        <v>75</v>
      </c>
      <c r="O32" s="19">
        <f t="shared" si="0"/>
        <v>-37.5</v>
      </c>
      <c r="Q32" s="11">
        <v>7.5</v>
      </c>
      <c r="R32" s="11">
        <v>12.5</v>
      </c>
      <c r="S32" s="19">
        <f t="shared" si="1"/>
        <v>-5</v>
      </c>
      <c r="U32" s="11">
        <v>45</v>
      </c>
      <c r="V32" s="11">
        <v>87.5</v>
      </c>
      <c r="W32" s="19">
        <f t="shared" si="2"/>
        <v>-42.5</v>
      </c>
      <c r="Y32" s="11">
        <v>60.2</v>
      </c>
      <c r="Z32" s="11">
        <v>66.2</v>
      </c>
      <c r="AA32" s="19">
        <f t="shared" si="3"/>
        <v>-6</v>
      </c>
      <c r="AC32" s="11">
        <v>66.33</v>
      </c>
      <c r="AD32" s="11">
        <v>44.67</v>
      </c>
      <c r="AE32" s="19">
        <f t="shared" si="4"/>
        <v>21.659999999999997</v>
      </c>
      <c r="AG32" s="11">
        <v>37.5</v>
      </c>
      <c r="AH32" s="11">
        <v>32.5</v>
      </c>
      <c r="AI32" s="19">
        <f t="shared" si="5"/>
        <v>5</v>
      </c>
      <c r="AK32" s="11">
        <v>-7.5</v>
      </c>
      <c r="AL32" s="11">
        <v>1.25</v>
      </c>
      <c r="AM32" s="19">
        <f t="shared" si="6"/>
        <v>-8.75</v>
      </c>
      <c r="AO32" s="11">
        <v>30</v>
      </c>
      <c r="AP32" s="11">
        <v>76.25</v>
      </c>
      <c r="AQ32" s="19">
        <f t="shared" si="7"/>
        <v>-46.25</v>
      </c>
    </row>
    <row r="33" spans="11:43" ht="18" x14ac:dyDescent="0.55000000000000004">
      <c r="M33" s="11">
        <v>32.5</v>
      </c>
      <c r="N33" s="11">
        <v>25</v>
      </c>
      <c r="O33" s="19">
        <f t="shared" si="0"/>
        <v>7.5</v>
      </c>
      <c r="Q33" s="11">
        <v>5</v>
      </c>
      <c r="R33" s="11">
        <v>12.5</v>
      </c>
      <c r="S33" s="19">
        <f t="shared" si="1"/>
        <v>-7.5</v>
      </c>
      <c r="U33" s="11">
        <v>37.5</v>
      </c>
      <c r="V33" s="11">
        <v>37.5</v>
      </c>
      <c r="W33" s="19">
        <f t="shared" si="2"/>
        <v>0</v>
      </c>
      <c r="Y33" s="11">
        <v>76</v>
      </c>
      <c r="Z33" s="11">
        <v>60.9</v>
      </c>
      <c r="AA33" s="19">
        <f t="shared" si="3"/>
        <v>15.100000000000001</v>
      </c>
      <c r="AC33" s="11">
        <v>25.3</v>
      </c>
      <c r="AD33" s="11">
        <v>52</v>
      </c>
      <c r="AE33" s="19">
        <f t="shared" si="4"/>
        <v>-26.7</v>
      </c>
      <c r="AG33" s="11">
        <v>46.25</v>
      </c>
      <c r="AH33" s="11">
        <v>86.25</v>
      </c>
      <c r="AI33" s="19">
        <f t="shared" si="5"/>
        <v>-40</v>
      </c>
      <c r="AK33" s="11">
        <v>0</v>
      </c>
      <c r="AL33" s="11">
        <v>-10</v>
      </c>
      <c r="AM33" s="19">
        <f t="shared" si="6"/>
        <v>10</v>
      </c>
      <c r="AO33" s="11">
        <v>46.25</v>
      </c>
      <c r="AP33" s="11">
        <v>22.5</v>
      </c>
      <c r="AQ33" s="19">
        <f t="shared" si="7"/>
        <v>23.75</v>
      </c>
    </row>
    <row r="34" spans="11:43" ht="18" x14ac:dyDescent="0.55000000000000004">
      <c r="M34" s="11">
        <v>47.5</v>
      </c>
      <c r="N34" s="11">
        <v>75</v>
      </c>
      <c r="O34" s="19">
        <f t="shared" si="0"/>
        <v>-27.5</v>
      </c>
      <c r="Q34" s="11">
        <v>7.5</v>
      </c>
      <c r="R34" s="11">
        <v>-2.5</v>
      </c>
      <c r="S34" s="19">
        <f t="shared" si="1"/>
        <v>10</v>
      </c>
      <c r="U34" s="11">
        <v>55</v>
      </c>
      <c r="V34" s="11">
        <v>72.5</v>
      </c>
      <c r="W34" s="19">
        <f t="shared" si="2"/>
        <v>-17.5</v>
      </c>
      <c r="Y34" s="11">
        <v>86.5</v>
      </c>
      <c r="Z34" s="11">
        <v>77.400000000000006</v>
      </c>
      <c r="AA34" s="19">
        <f t="shared" si="3"/>
        <v>9.0999999999999943</v>
      </c>
      <c r="AC34" s="11">
        <v>22.67</v>
      </c>
      <c r="AD34" s="11">
        <v>42</v>
      </c>
      <c r="AE34" s="19">
        <f t="shared" si="4"/>
        <v>-19.329999999999998</v>
      </c>
      <c r="AG34" s="11">
        <v>36.25</v>
      </c>
      <c r="AH34" s="11">
        <v>30</v>
      </c>
      <c r="AI34" s="19">
        <f t="shared" si="5"/>
        <v>6.25</v>
      </c>
      <c r="AK34" s="11">
        <v>11.25</v>
      </c>
      <c r="AL34" s="11">
        <v>6.25</v>
      </c>
      <c r="AM34" s="19">
        <f t="shared" si="6"/>
        <v>5</v>
      </c>
      <c r="AO34" s="11">
        <v>47.5</v>
      </c>
      <c r="AP34" s="11">
        <v>92.5</v>
      </c>
      <c r="AQ34" s="19">
        <f t="shared" si="7"/>
        <v>-45</v>
      </c>
    </row>
    <row r="35" spans="11:43" ht="18" x14ac:dyDescent="0.55000000000000004">
      <c r="M35" s="11">
        <v>20</v>
      </c>
      <c r="N35" s="11">
        <v>25</v>
      </c>
      <c r="O35" s="19">
        <f t="shared" si="0"/>
        <v>-5</v>
      </c>
      <c r="Q35" s="11">
        <v>7.5</v>
      </c>
      <c r="R35" s="11">
        <v>-12.5</v>
      </c>
      <c r="S35" s="19">
        <f t="shared" si="1"/>
        <v>20</v>
      </c>
      <c r="U35" s="11">
        <v>27.5</v>
      </c>
      <c r="V35" s="11">
        <v>12.5</v>
      </c>
      <c r="W35" s="19">
        <f t="shared" si="2"/>
        <v>15</v>
      </c>
      <c r="Y35" s="11">
        <v>71.400000000000006</v>
      </c>
      <c r="Z35" s="11">
        <v>79.7</v>
      </c>
      <c r="AA35" s="19">
        <f t="shared" si="3"/>
        <v>-8.2999999999999972</v>
      </c>
      <c r="AC35" s="11">
        <v>45.67</v>
      </c>
      <c r="AD35" s="11">
        <v>53.67</v>
      </c>
      <c r="AE35" s="19">
        <f t="shared" si="4"/>
        <v>-8</v>
      </c>
      <c r="AG35" s="11">
        <v>32.5</v>
      </c>
      <c r="AH35" s="11">
        <v>0</v>
      </c>
      <c r="AI35" s="19">
        <f t="shared" si="5"/>
        <v>32.5</v>
      </c>
      <c r="AK35" s="11">
        <v>-3.75</v>
      </c>
      <c r="AL35" s="11">
        <v>-7.5</v>
      </c>
      <c r="AM35" s="19">
        <f t="shared" si="6"/>
        <v>3.75</v>
      </c>
      <c r="AO35" s="11">
        <v>28.75</v>
      </c>
      <c r="AP35" s="11">
        <v>22.5</v>
      </c>
      <c r="AQ35" s="19">
        <f t="shared" si="7"/>
        <v>6.25</v>
      </c>
    </row>
    <row r="36" spans="11:43" ht="18" x14ac:dyDescent="0.55000000000000004">
      <c r="M36" s="11">
        <v>80</v>
      </c>
      <c r="N36" s="11">
        <v>0</v>
      </c>
      <c r="O36" s="19">
        <f t="shared" si="0"/>
        <v>80</v>
      </c>
      <c r="Q36" s="11">
        <v>0</v>
      </c>
      <c r="R36" s="11">
        <v>5</v>
      </c>
      <c r="S36" s="19">
        <f t="shared" si="1"/>
        <v>-5</v>
      </c>
      <c r="U36" s="11">
        <v>80</v>
      </c>
      <c r="V36" s="11">
        <v>5</v>
      </c>
      <c r="W36" s="19">
        <f t="shared" si="2"/>
        <v>75</v>
      </c>
      <c r="Y36" s="11">
        <v>61.7</v>
      </c>
      <c r="Z36" s="11">
        <v>63.9</v>
      </c>
      <c r="AA36" s="19">
        <f t="shared" si="3"/>
        <v>-2.1999999999999957</v>
      </c>
      <c r="AC36" s="11">
        <v>40.67</v>
      </c>
      <c r="AD36" s="11">
        <v>27.67</v>
      </c>
      <c r="AE36" s="19">
        <f t="shared" si="4"/>
        <v>13</v>
      </c>
      <c r="AG36" s="11">
        <v>75</v>
      </c>
      <c r="AH36" s="11">
        <v>57.5</v>
      </c>
      <c r="AI36" s="19">
        <f t="shared" si="5"/>
        <v>17.5</v>
      </c>
      <c r="AK36" s="11">
        <v>-5</v>
      </c>
      <c r="AL36" s="11">
        <v>5</v>
      </c>
      <c r="AM36" s="19">
        <f t="shared" si="6"/>
        <v>-10</v>
      </c>
      <c r="AO36" s="11">
        <v>70</v>
      </c>
      <c r="AP36" s="11">
        <v>5</v>
      </c>
      <c r="AQ36" s="19">
        <f t="shared" si="7"/>
        <v>65</v>
      </c>
    </row>
    <row r="37" spans="11:43" ht="18" x14ac:dyDescent="0.55000000000000004">
      <c r="M37" s="11">
        <v>32.5</v>
      </c>
      <c r="N37" s="11">
        <v>57.5</v>
      </c>
      <c r="O37" s="19">
        <f t="shared" si="0"/>
        <v>-25</v>
      </c>
      <c r="Q37" s="11">
        <v>-5</v>
      </c>
      <c r="R37" s="11">
        <v>-10</v>
      </c>
      <c r="S37" s="19">
        <f t="shared" si="1"/>
        <v>5</v>
      </c>
      <c r="U37" s="11">
        <v>27.5</v>
      </c>
      <c r="V37" s="11">
        <v>47.5</v>
      </c>
      <c r="W37" s="19">
        <f t="shared" si="2"/>
        <v>-20</v>
      </c>
      <c r="Y37" s="11">
        <v>70.7</v>
      </c>
      <c r="Z37" s="11">
        <v>63.2</v>
      </c>
      <c r="AA37" s="19">
        <f t="shared" si="3"/>
        <v>7.5</v>
      </c>
      <c r="AC37" s="11">
        <v>51.33</v>
      </c>
      <c r="AD37" s="11">
        <v>80.67</v>
      </c>
      <c r="AE37" s="19">
        <f t="shared" si="4"/>
        <v>-29.340000000000003</v>
      </c>
      <c r="AG37" s="11">
        <v>27.500000000000007</v>
      </c>
      <c r="AH37" s="11">
        <v>37.5</v>
      </c>
      <c r="AI37" s="19">
        <f t="shared" si="5"/>
        <v>-9.9999999999999929</v>
      </c>
      <c r="AK37" s="11">
        <v>-6.25</v>
      </c>
      <c r="AL37" s="11">
        <v>-10</v>
      </c>
      <c r="AM37" s="19">
        <f t="shared" si="6"/>
        <v>3.75</v>
      </c>
      <c r="AO37" s="11">
        <v>21.250000000000007</v>
      </c>
      <c r="AP37" s="11">
        <v>47.5</v>
      </c>
      <c r="AQ37" s="19">
        <f t="shared" si="7"/>
        <v>-26.249999999999993</v>
      </c>
    </row>
    <row r="38" spans="11:43" ht="18" x14ac:dyDescent="0.55000000000000004">
      <c r="M38" s="11">
        <v>17.5</v>
      </c>
      <c r="N38" s="11">
        <v>17.5</v>
      </c>
      <c r="O38" s="19">
        <f t="shared" si="0"/>
        <v>0</v>
      </c>
      <c r="Q38" s="11">
        <v>0</v>
      </c>
      <c r="R38" s="11">
        <v>7.5</v>
      </c>
      <c r="S38" s="19">
        <f t="shared" si="1"/>
        <v>-7.5</v>
      </c>
      <c r="U38" s="11">
        <v>17.5</v>
      </c>
      <c r="V38" s="11">
        <v>25</v>
      </c>
      <c r="W38" s="19">
        <f t="shared" si="2"/>
        <v>-7.5</v>
      </c>
      <c r="Y38" s="11">
        <v>58.6</v>
      </c>
      <c r="Z38" s="11">
        <v>48.9</v>
      </c>
      <c r="AA38" s="19">
        <f t="shared" si="3"/>
        <v>9.7000000000000028</v>
      </c>
      <c r="AC38" s="11">
        <v>48.67</v>
      </c>
      <c r="AD38" s="11">
        <v>24.67</v>
      </c>
      <c r="AE38" s="19">
        <f t="shared" si="4"/>
        <v>24</v>
      </c>
      <c r="AG38" s="11">
        <v>27.500000000000007</v>
      </c>
      <c r="AH38" s="11">
        <v>40</v>
      </c>
      <c r="AI38" s="19">
        <f t="shared" si="5"/>
        <v>-12.499999999999993</v>
      </c>
      <c r="AK38" s="11">
        <v>-6.25</v>
      </c>
      <c r="AL38" s="11">
        <v>-3.75</v>
      </c>
      <c r="AM38" s="19">
        <f t="shared" si="6"/>
        <v>-2.5</v>
      </c>
      <c r="AO38" s="11">
        <v>21.250000000000007</v>
      </c>
      <c r="AP38" s="11">
        <v>33.75</v>
      </c>
      <c r="AQ38" s="19">
        <f t="shared" si="7"/>
        <v>-12.499999999999993</v>
      </c>
    </row>
    <row r="39" spans="11:43" ht="18" x14ac:dyDescent="0.55000000000000004">
      <c r="M39" s="11">
        <v>57.5</v>
      </c>
      <c r="N39" s="11">
        <v>27.5</v>
      </c>
      <c r="O39" s="19">
        <f t="shared" si="0"/>
        <v>30</v>
      </c>
      <c r="Q39" s="11">
        <v>17.5</v>
      </c>
      <c r="R39" s="11">
        <v>35</v>
      </c>
      <c r="S39" s="19">
        <f t="shared" si="1"/>
        <v>-17.5</v>
      </c>
      <c r="U39" s="11">
        <v>75</v>
      </c>
      <c r="V39" s="11">
        <v>62.5</v>
      </c>
      <c r="W39" s="19">
        <f t="shared" si="2"/>
        <v>12.5</v>
      </c>
      <c r="Y39" s="11">
        <v>91.7</v>
      </c>
      <c r="Z39" s="11">
        <v>55.6</v>
      </c>
      <c r="AA39" s="19">
        <f t="shared" si="3"/>
        <v>36.1</v>
      </c>
      <c r="AC39" s="11">
        <v>51.33</v>
      </c>
      <c r="AD39" s="11">
        <v>64</v>
      </c>
      <c r="AE39" s="19">
        <f t="shared" si="4"/>
        <v>-12.670000000000002</v>
      </c>
      <c r="AG39" s="11">
        <v>82.5</v>
      </c>
      <c r="AH39" s="11">
        <v>28.75</v>
      </c>
      <c r="AI39" s="19">
        <f t="shared" si="5"/>
        <v>53.75</v>
      </c>
      <c r="AK39" s="11">
        <v>-1.25</v>
      </c>
      <c r="AL39" s="11">
        <v>20</v>
      </c>
      <c r="AM39" s="19">
        <f t="shared" si="6"/>
        <v>-21.25</v>
      </c>
      <c r="AO39" s="11">
        <v>81.25</v>
      </c>
      <c r="AP39" s="11">
        <v>60</v>
      </c>
      <c r="AQ39" s="19">
        <f t="shared" si="7"/>
        <v>21.25</v>
      </c>
    </row>
    <row r="40" spans="11:43" ht="18" x14ac:dyDescent="0.55000000000000004">
      <c r="M40" s="11">
        <v>45</v>
      </c>
      <c r="N40" s="11">
        <v>30</v>
      </c>
      <c r="O40" s="19">
        <f t="shared" si="0"/>
        <v>15</v>
      </c>
      <c r="Q40" s="11">
        <v>2.5</v>
      </c>
      <c r="R40" s="11">
        <v>-5</v>
      </c>
      <c r="S40" s="19">
        <f t="shared" si="1"/>
        <v>7.5</v>
      </c>
      <c r="U40" s="11">
        <v>47.5</v>
      </c>
      <c r="V40" s="11">
        <v>25</v>
      </c>
      <c r="W40" s="19">
        <f t="shared" si="2"/>
        <v>22.5</v>
      </c>
      <c r="Y40" s="11">
        <v>82.7</v>
      </c>
      <c r="Z40" s="11">
        <v>81.2</v>
      </c>
      <c r="AA40" s="19">
        <f t="shared" si="3"/>
        <v>1.5</v>
      </c>
      <c r="AC40" s="11">
        <v>54.33</v>
      </c>
      <c r="AD40" s="11">
        <v>57.33</v>
      </c>
      <c r="AE40" s="19">
        <f t="shared" si="4"/>
        <v>-3</v>
      </c>
      <c r="AG40" s="11">
        <v>47.5</v>
      </c>
      <c r="AH40" s="11">
        <v>53.75</v>
      </c>
      <c r="AI40" s="19">
        <f t="shared" si="5"/>
        <v>-6.25</v>
      </c>
      <c r="AK40" s="11">
        <v>-11.25</v>
      </c>
      <c r="AL40" s="11">
        <v>5</v>
      </c>
      <c r="AM40" s="19">
        <f t="shared" si="6"/>
        <v>-16.25</v>
      </c>
      <c r="AO40" s="11">
        <v>36.25</v>
      </c>
      <c r="AP40" s="11">
        <v>33.75</v>
      </c>
      <c r="AQ40" s="19">
        <f t="shared" si="7"/>
        <v>2.5</v>
      </c>
    </row>
    <row r="41" spans="11:43" ht="18" x14ac:dyDescent="0.55000000000000004">
      <c r="M41" s="11">
        <v>7.5</v>
      </c>
      <c r="N41" s="11">
        <v>32.5</v>
      </c>
      <c r="O41" s="19">
        <f t="shared" si="0"/>
        <v>-25</v>
      </c>
      <c r="Q41" s="11">
        <v>-5</v>
      </c>
      <c r="R41" s="11">
        <v>-5</v>
      </c>
      <c r="S41" s="19">
        <f t="shared" si="1"/>
        <v>0</v>
      </c>
      <c r="U41" s="11">
        <v>2.5</v>
      </c>
      <c r="V41" s="11">
        <v>27.5</v>
      </c>
      <c r="W41" s="19">
        <f t="shared" si="2"/>
        <v>-25</v>
      </c>
      <c r="Y41" s="11">
        <v>67.7</v>
      </c>
      <c r="Z41" s="11">
        <v>75.900000000000006</v>
      </c>
      <c r="AA41" s="19">
        <f t="shared" si="3"/>
        <v>-8.2000000000000028</v>
      </c>
      <c r="AC41" s="11">
        <v>61</v>
      </c>
      <c r="AD41" s="11">
        <v>41</v>
      </c>
      <c r="AE41" s="19">
        <f t="shared" si="4"/>
        <v>20</v>
      </c>
      <c r="AG41" s="11">
        <v>18.75</v>
      </c>
      <c r="AH41" s="11">
        <v>27.5</v>
      </c>
      <c r="AI41" s="19">
        <f t="shared" si="5"/>
        <v>-8.75</v>
      </c>
      <c r="AK41" s="11">
        <v>-6.25</v>
      </c>
      <c r="AL41" s="11">
        <v>-5</v>
      </c>
      <c r="AM41" s="19">
        <f t="shared" si="6"/>
        <v>-1.25</v>
      </c>
      <c r="AO41" s="11">
        <v>12.5</v>
      </c>
      <c r="AP41" s="11">
        <v>48.75</v>
      </c>
      <c r="AQ41" s="19">
        <f t="shared" si="7"/>
        <v>-36.25</v>
      </c>
    </row>
    <row r="42" spans="11:43" ht="18" x14ac:dyDescent="0.55000000000000004">
      <c r="M42" s="11">
        <v>30</v>
      </c>
      <c r="N42" s="11">
        <v>22.5</v>
      </c>
      <c r="O42" s="19">
        <f t="shared" si="0"/>
        <v>7.5</v>
      </c>
      <c r="Q42" s="11">
        <v>0</v>
      </c>
      <c r="R42" s="11">
        <v>-15</v>
      </c>
      <c r="S42" s="19">
        <f t="shared" si="1"/>
        <v>15</v>
      </c>
      <c r="U42" s="11">
        <v>30</v>
      </c>
      <c r="V42" s="11">
        <v>7.5</v>
      </c>
      <c r="W42" s="19">
        <f t="shared" si="2"/>
        <v>22.5</v>
      </c>
      <c r="Y42" s="11">
        <v>72.2</v>
      </c>
      <c r="Z42" s="11">
        <v>53.4</v>
      </c>
      <c r="AA42" s="19">
        <f t="shared" si="3"/>
        <v>18.800000000000004</v>
      </c>
      <c r="AC42" s="11">
        <v>52</v>
      </c>
      <c r="AD42" s="11">
        <v>75</v>
      </c>
      <c r="AE42" s="19">
        <f t="shared" si="4"/>
        <v>-23</v>
      </c>
      <c r="AG42" s="11">
        <v>16.249999999999993</v>
      </c>
      <c r="AH42" s="11">
        <f>(88-20)/80*100</f>
        <v>85</v>
      </c>
      <c r="AI42" s="19">
        <f t="shared" si="5"/>
        <v>-68.75</v>
      </c>
      <c r="AK42" s="11">
        <v>12.5</v>
      </c>
      <c r="AL42" s="11">
        <v>-23.750000000000007</v>
      </c>
      <c r="AM42" s="19">
        <f t="shared" si="6"/>
        <v>36.250000000000007</v>
      </c>
      <c r="AO42" s="11">
        <v>28.749999999999993</v>
      </c>
      <c r="AP42" s="11">
        <v>3.7499999999999929</v>
      </c>
      <c r="AQ42" s="19">
        <f t="shared" si="7"/>
        <v>25</v>
      </c>
    </row>
    <row r="44" spans="11:43" ht="18" x14ac:dyDescent="0.55000000000000004">
      <c r="K44" s="22" t="s">
        <v>24</v>
      </c>
      <c r="L44" s="23"/>
      <c r="M44" s="19">
        <f t="shared" ref="M44:N44" si="8">AVERAGE(M3:M42)</f>
        <v>44.3125</v>
      </c>
      <c r="N44" s="19">
        <f t="shared" si="8"/>
        <v>34.8125</v>
      </c>
      <c r="O44" s="19">
        <f>AVERAGE(O3:O42)</f>
        <v>9.5</v>
      </c>
      <c r="Q44" s="19">
        <f t="shared" ref="Q44:R44" si="9">AVERAGE(Q3:Q42)</f>
        <v>-4.625</v>
      </c>
      <c r="R44" s="19">
        <f t="shared" si="9"/>
        <v>-1.5</v>
      </c>
      <c r="S44" s="19">
        <f>AVERAGE(S3:S42)</f>
        <v>-3.125</v>
      </c>
      <c r="U44" s="19">
        <f t="shared" ref="U44:V44" si="10">AVERAGE(U3:U42)</f>
        <v>39.6875</v>
      </c>
      <c r="V44" s="19">
        <f t="shared" si="10"/>
        <v>33.3125</v>
      </c>
      <c r="W44" s="19">
        <f>AVERAGE(W3:W42)</f>
        <v>6.375</v>
      </c>
      <c r="Y44" s="19">
        <f t="shared" ref="Y44:Z44" si="11">AVERAGE(Y3:Y42)</f>
        <v>70.97999999999999</v>
      </c>
      <c r="Z44" s="19">
        <f t="shared" si="11"/>
        <v>65.490000000000009</v>
      </c>
      <c r="AA44" s="19">
        <f>AVERAGE(AA3:AA42)</f>
        <v>5.49</v>
      </c>
      <c r="AC44" s="19">
        <f t="shared" ref="AC44:AD44" si="12">AVERAGE(AC3:AC42)</f>
        <v>49.608499999999992</v>
      </c>
      <c r="AD44" s="19">
        <f t="shared" si="12"/>
        <v>50.04225000000001</v>
      </c>
      <c r="AE44" s="19">
        <f>AVERAGE(AE3:AE42)</f>
        <v>-0.43374999999999975</v>
      </c>
      <c r="AG44" s="19">
        <f t="shared" ref="AG44:AH44" si="13">AVERAGE(AG3:AG42)</f>
        <v>40.875</v>
      </c>
      <c r="AH44" s="19">
        <f t="shared" si="13"/>
        <v>39.71875</v>
      </c>
      <c r="AI44" s="19">
        <f>AVERAGE(AI3:AI42)</f>
        <v>1.15625</v>
      </c>
      <c r="AK44" s="19">
        <f t="shared" ref="AK44:AL44" si="14">AVERAGE(AK3:AK42)</f>
        <v>-2.9374999999999991</v>
      </c>
      <c r="AL44" s="19">
        <f t="shared" si="14"/>
        <v>-4.3125</v>
      </c>
      <c r="AM44" s="19">
        <f>AVERAGE(AM3:AM42)</f>
        <v>1.3750000000000009</v>
      </c>
      <c r="AO44" s="19">
        <f t="shared" ref="AO44:AP44" si="15">AVERAGE(AO3:AO42)</f>
        <v>37.9375</v>
      </c>
      <c r="AP44" s="19">
        <f t="shared" si="15"/>
        <v>33.9375</v>
      </c>
      <c r="AQ44" s="19">
        <f>AVERAGE(AQ3:AQ42)</f>
        <v>4</v>
      </c>
    </row>
    <row r="45" spans="11:43" ht="18" x14ac:dyDescent="0.55000000000000004">
      <c r="K45" s="22" t="s">
        <v>23</v>
      </c>
      <c r="L45" s="23"/>
      <c r="M45" s="19">
        <f t="shared" ref="M45:N45" si="16">_xlfn.STDEV.S(M3:M42)</f>
        <v>19.42265644378578</v>
      </c>
      <c r="N45" s="19">
        <f t="shared" si="16"/>
        <v>21.026444735264405</v>
      </c>
      <c r="O45" s="19">
        <f>_xlfn.STDEV.S(O3:O42)</f>
        <v>29.608557321603271</v>
      </c>
      <c r="Q45" s="19">
        <f t="shared" ref="Q45:R45" si="17">_xlfn.STDEV.S(Q3:Q42)</f>
        <v>13.077064478873513</v>
      </c>
      <c r="R45" s="19">
        <f t="shared" si="17"/>
        <v>13.620309119576564</v>
      </c>
      <c r="S45" s="19">
        <f>_xlfn.STDEV.S(S3:S42)</f>
        <v>16.981796437845151</v>
      </c>
      <c r="U45" s="19">
        <f t="shared" ref="U45:V45" si="18">_xlfn.STDEV.S(U3:U42)</f>
        <v>21.655723321193928</v>
      </c>
      <c r="V45" s="19">
        <f t="shared" si="18"/>
        <v>20.904142486046229</v>
      </c>
      <c r="W45" s="19">
        <f>_xlfn.STDEV.S(W3:W42)</f>
        <v>26.323614727230989</v>
      </c>
      <c r="Y45" s="19">
        <f t="shared" ref="Y45:Z45" si="19">_xlfn.STDEV.S(Y3:Y42)</f>
        <v>13.285507816742287</v>
      </c>
      <c r="Z45" s="19">
        <f t="shared" si="19"/>
        <v>10.901018536274593</v>
      </c>
      <c r="AA45" s="19">
        <f>_xlfn.STDEV.S(AA3:AA42)</f>
        <v>15.402094429671337</v>
      </c>
      <c r="AC45" s="19">
        <f t="shared" ref="AC45:AD45" si="20">_xlfn.STDEV.S(AC3:AC42)</f>
        <v>15.455270870881183</v>
      </c>
      <c r="AD45" s="19">
        <f t="shared" si="20"/>
        <v>18.210120528966481</v>
      </c>
      <c r="AE45" s="19">
        <f>_xlfn.STDEV.S(AE3:AE42)</f>
        <v>21.710766759127392</v>
      </c>
      <c r="AG45" s="19">
        <f t="shared" ref="AG45:AH45" si="21">_xlfn.STDEV.S(AG3:AG42)</f>
        <v>20.978086857602822</v>
      </c>
      <c r="AH45" s="19">
        <f t="shared" si="21"/>
        <v>20.82144692963459</v>
      </c>
      <c r="AI45" s="19">
        <f>_xlfn.STDEV.S(AI3:AI42)</f>
        <v>30.088527900479757</v>
      </c>
      <c r="AK45" s="19">
        <f t="shared" ref="AK45:AL45" si="22">_xlfn.STDEV.S(AK3:AK42)</f>
        <v>9.1267341169240623</v>
      </c>
      <c r="AL45" s="19">
        <f t="shared" si="22"/>
        <v>10.707915536097822</v>
      </c>
      <c r="AM45" s="19">
        <f>_xlfn.STDEV.S(AM3:AM42)</f>
        <v>14.759829406282584</v>
      </c>
      <c r="AO45" s="19">
        <f t="shared" ref="AO45:AP45" si="23">_xlfn.STDEV.S(AO3:AO42)</f>
        <v>21.304699583870558</v>
      </c>
      <c r="AP45" s="19">
        <f t="shared" si="23"/>
        <v>21.668299987746487</v>
      </c>
      <c r="AQ45" s="19">
        <f>_xlfn.STDEV.S(AQ3:AQ42)</f>
        <v>27.233851955015329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Knowledge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El-Sherbiny</dc:creator>
  <cp:lastModifiedBy>El-Sherbiny, Sarah</cp:lastModifiedBy>
  <dcterms:created xsi:type="dcterms:W3CDTF">2015-06-05T18:19:34Z</dcterms:created>
  <dcterms:modified xsi:type="dcterms:W3CDTF">2026-09-08T17:35:43Z</dcterms:modified>
</cp:coreProperties>
</file>